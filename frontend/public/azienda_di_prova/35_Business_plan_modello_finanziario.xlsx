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otesi" sheetId="1" state="visible" r:id="rId1"/>
    <sheet name="Ricavi" sheetId="2" state="visible" r:id="rId2"/>
    <sheet name="CE mensile" sheetId="3" state="visible" r:id="rId3"/>
    <sheet name="Personale" sheetId="4" state="visible" r:id="rId4"/>
    <sheet name="Investimenti" sheetId="5" state="visible" r:id="rId5"/>
    <sheet name="Stato patrimoniale" sheetId="6" state="visible" r:id="rId6"/>
    <sheet name="Rendiconto finanziario" sheetId="7" state="visible" r:id="rId7"/>
  </sheets>
  <definedNames>
    <definedName name="_xlnm._FilterDatabase" localSheetId="0" hidden="1">'Ipotesi'!$A$1:$B$31</definedName>
    <definedName name="_xlnm._FilterDatabase" localSheetId="1" hidden="1">'Ricavi'!$A$1:$AK$6</definedName>
    <definedName name="_xlnm._FilterDatabase" localSheetId="2" hidden="1">'CE mensile'!$A$1:$AK$25</definedName>
    <definedName name="_xlnm._FilterDatabase" localSheetId="3" hidden="1">'Personale'!$A$1:$AM$26</definedName>
    <definedName name="_xlnm._FilterDatabase" localSheetId="4" hidden="1">'Investimenti'!$A$1:$AK$5</definedName>
    <definedName name="_xlnm._FilterDatabase" localSheetId="5" hidden="1">'Stato patrimoniale'!$A$1:$AK$20</definedName>
    <definedName name="_xlnm._FilterDatabase" localSheetId="6" hidden="1">'Rendiconto finanziario'!$A$1:$AK$16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;[Red]-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 ht="32" customHeight="1">
      <c r="A1" s="1" t="inlineStr">
        <is>
          <t>Ipotesi</t>
        </is>
      </c>
      <c r="B1" s="1" t="inlineStr">
        <is>
          <t>Valore</t>
        </is>
      </c>
    </row>
    <row r="2">
      <c r="A2" s="2" t="inlineStr">
        <is>
          <t>Ricavi 2026</t>
        </is>
      </c>
      <c r="B2" s="3" t="n">
        <v>1860000</v>
      </c>
    </row>
    <row r="3">
      <c r="A3" s="2" t="inlineStr">
        <is>
          <t>Ricavi 2027</t>
        </is>
      </c>
      <c r="B3" s="3" t="n">
        <v>2150000</v>
      </c>
    </row>
    <row r="4">
      <c r="A4" s="2" t="inlineStr">
        <is>
          <t>Ricavi 2028</t>
        </is>
      </c>
      <c r="B4" s="3" t="n">
        <v>2480000</v>
      </c>
    </row>
    <row r="5">
      <c r="A5" s="2" t="inlineStr">
        <is>
          <t>Rivalutazione retribuzioni ogni gennaio</t>
        </is>
      </c>
      <c r="B5" s="3" t="n">
        <v>0.025</v>
      </c>
    </row>
    <row r="6">
      <c r="A6" s="2" t="inlineStr">
        <is>
          <t>Premi, welfare e altri costi sul costo di base</t>
        </is>
      </c>
      <c r="B6" s="3" t="n">
        <v>0.13</v>
      </c>
    </row>
    <row r="7">
      <c r="A7" s="2" t="inlineStr">
        <is>
          <t>Quota capitalizzata dello sviluppo</t>
        </is>
      </c>
      <c r="B7" s="3" t="n">
        <v>0.35</v>
      </c>
    </row>
    <row r="8">
      <c r="A8" s="2" t="inlineStr">
        <is>
          <t>Nuovo finanziamento (marzo 2026)</t>
        </is>
      </c>
      <c r="B8" s="3" t="n">
        <v>150000</v>
      </c>
    </row>
    <row r="9">
      <c r="A9" s="2" t="inlineStr">
        <is>
          <t>Tasso finanziamento esistente</t>
        </is>
      </c>
      <c r="B9" s="3" t="n">
        <v>0.0505</v>
      </c>
    </row>
    <row r="10">
      <c r="A10" s="2" t="inlineStr">
        <is>
          <t>Tasso nuovo finanziamento</t>
        </is>
      </c>
      <c r="B10" s="3" t="n">
        <v>0.0535</v>
      </c>
    </row>
    <row r="11">
      <c r="A11" s="2" t="inlineStr">
        <is>
          <t>DSO 2026</t>
        </is>
      </c>
      <c r="B11" s="3" t="n">
        <v>96</v>
      </c>
    </row>
    <row r="12">
      <c r="A12" s="2" t="inlineStr">
        <is>
          <t>DSO 2027</t>
        </is>
      </c>
      <c r="B12" s="3" t="n">
        <v>90</v>
      </c>
    </row>
    <row r="13">
      <c r="A13" s="2" t="inlineStr">
        <is>
          <t>DSO 2028</t>
        </is>
      </c>
      <c r="B13" s="3" t="n">
        <v>85</v>
      </c>
    </row>
    <row r="14">
      <c r="A14" s="2" t="inlineStr">
        <is>
          <t>DPO</t>
        </is>
      </c>
      <c r="B14" s="3" t="n">
        <v>47</v>
      </c>
    </row>
    <row r="15">
      <c r="A15" s="2" t="inlineStr">
        <is>
          <t>Aliquota IRES</t>
        </is>
      </c>
      <c r="B15" s="3" t="n">
        <v>0.24</v>
      </c>
    </row>
    <row r="16">
      <c r="A16" s="2" t="inlineStr">
        <is>
          <t>Aliquota IRAP</t>
        </is>
      </c>
      <c r="B16" s="3" t="n">
        <v>0.039</v>
      </c>
    </row>
    <row r="17">
      <c r="A17" s="2" t="inlineStr">
        <is>
          <t>Consulenze e collaborazioni 2026 (% ricavi)</t>
        </is>
      </c>
      <c r="B17" s="3" t="n">
        <v>0.105</v>
      </c>
    </row>
    <row r="18">
      <c r="A18" s="2" t="inlineStr">
        <is>
          <t>Consulenze e collaborazioni 2027 (% ricavi)</t>
        </is>
      </c>
      <c r="B18" s="3" t="n">
        <v>0.102</v>
      </c>
    </row>
    <row r="19">
      <c r="A19" s="2" t="inlineStr">
        <is>
          <t>Consulenze e collaborazioni 2028 (% ricavi)</t>
        </is>
      </c>
      <c r="B19" s="3" t="n">
        <v>0.099</v>
      </c>
    </row>
    <row r="20">
      <c r="A20" s="2" t="inlineStr">
        <is>
          <t>Licenze e servizi cloud 2026 (% ricavi)</t>
        </is>
      </c>
      <c r="B20" s="3" t="n">
        <v>0.039</v>
      </c>
    </row>
    <row r="21">
      <c r="A21" s="2" t="inlineStr">
        <is>
          <t>Licenze e servizi cloud 2027 (% ricavi)</t>
        </is>
      </c>
      <c r="B21" s="3" t="n">
        <v>0.04</v>
      </c>
    </row>
    <row r="22">
      <c r="A22" s="2" t="inlineStr">
        <is>
          <t>Licenze e servizi cloud 2028 (% ricavi)</t>
        </is>
      </c>
      <c r="B22" s="3" t="n">
        <v>0.041</v>
      </c>
    </row>
    <row r="23">
      <c r="A23" s="2" t="inlineStr">
        <is>
          <t>Affitti, utenze e locazioni operative 2026 (% ricavi)</t>
        </is>
      </c>
      <c r="B23" s="3" t="n">
        <v>0.056</v>
      </c>
    </row>
    <row r="24">
      <c r="A24" s="2" t="inlineStr">
        <is>
          <t>Affitti, utenze e locazioni operative 2027 (% ricavi)</t>
        </is>
      </c>
      <c r="B24" s="3" t="n">
        <v>0.052</v>
      </c>
    </row>
    <row r="25">
      <c r="A25" s="2" t="inlineStr">
        <is>
          <t>Affitti, utenze e locazioni operative 2028 (% ricavi)</t>
        </is>
      </c>
      <c r="B25" s="3" t="n">
        <v>0.049</v>
      </c>
    </row>
    <row r="26">
      <c r="A26" s="2" t="inlineStr">
        <is>
          <t>Marketing e vendite 2026 (% ricavi)</t>
        </is>
      </c>
      <c r="B26" s="3" t="n">
        <v>0.039</v>
      </c>
    </row>
    <row r="27">
      <c r="A27" s="2" t="inlineStr">
        <is>
          <t>Marketing e vendite 2027 (% ricavi)</t>
        </is>
      </c>
      <c r="B27" s="3" t="n">
        <v>0.039</v>
      </c>
    </row>
    <row r="28">
      <c r="A28" s="2" t="inlineStr">
        <is>
          <t>Marketing e vendite 2028 (% ricavi)</t>
        </is>
      </c>
      <c r="B28" s="3" t="n">
        <v>0.038</v>
      </c>
    </row>
    <row r="29">
      <c r="A29" s="2" t="inlineStr">
        <is>
          <t>Altri costi di struttura 2026 (% ricavi)</t>
        </is>
      </c>
      <c r="B29" s="3" t="n">
        <v>0.045</v>
      </c>
    </row>
    <row r="30">
      <c r="A30" s="2" t="inlineStr">
        <is>
          <t>Altri costi di struttura 2027 (% ricavi)</t>
        </is>
      </c>
      <c r="B30" s="3" t="n">
        <v>0.044</v>
      </c>
    </row>
    <row r="31">
      <c r="A31" s="2" t="inlineStr">
        <is>
          <t>Altri costi di struttura 2028 (% ricavi)</t>
        </is>
      </c>
      <c r="B31" s="3" t="n">
        <v>0.043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Linea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Canoni della piattaforma e licenze</t>
        </is>
      </c>
      <c r="B2" s="4" t="n">
        <v>40581</v>
      </c>
      <c r="C2" s="4" t="n">
        <v>44953</v>
      </c>
      <c r="D2" s="4" t="n">
        <v>52674</v>
      </c>
      <c r="E2" s="4" t="n">
        <v>52857</v>
      </c>
      <c r="F2" s="4" t="n">
        <v>57961</v>
      </c>
      <c r="G2" s="4" t="n">
        <v>62779</v>
      </c>
      <c r="H2" s="4" t="n">
        <v>59596</v>
      </c>
      <c r="I2" s="4" t="n">
        <v>39044</v>
      </c>
      <c r="J2" s="4" t="n">
        <v>62444</v>
      </c>
      <c r="K2" s="4" t="n">
        <v>70429</v>
      </c>
      <c r="L2" s="4" t="n">
        <v>71468</v>
      </c>
      <c r="M2" s="4" t="n">
        <v>92014</v>
      </c>
      <c r="N2" s="4" t="n">
        <v>55549</v>
      </c>
      <c r="O2" s="4" t="n">
        <v>61534</v>
      </c>
      <c r="P2" s="4" t="n">
        <v>72102</v>
      </c>
      <c r="Q2" s="4" t="n">
        <v>72353</v>
      </c>
      <c r="R2" s="4" t="n">
        <v>79340</v>
      </c>
      <c r="S2" s="4" t="n">
        <v>85935</v>
      </c>
      <c r="T2" s="4" t="n">
        <v>81578</v>
      </c>
      <c r="U2" s="4" t="n">
        <v>53445</v>
      </c>
      <c r="V2" s="4" t="n">
        <v>85476</v>
      </c>
      <c r="W2" s="4" t="n">
        <v>96407</v>
      </c>
      <c r="X2" s="4" t="n">
        <v>97828</v>
      </c>
      <c r="Y2" s="4" t="n">
        <v>125953</v>
      </c>
      <c r="Z2" s="4" t="n">
        <v>74042</v>
      </c>
      <c r="AA2" s="4" t="n">
        <v>82020</v>
      </c>
      <c r="AB2" s="4" t="n">
        <v>96106</v>
      </c>
      <c r="AC2" s="4" t="n">
        <v>96441</v>
      </c>
      <c r="AD2" s="4" t="n">
        <v>105753</v>
      </c>
      <c r="AE2" s="4" t="n">
        <v>114544</v>
      </c>
      <c r="AF2" s="4" t="n">
        <v>108738</v>
      </c>
      <c r="AG2" s="4" t="n">
        <v>71238</v>
      </c>
      <c r="AH2" s="4" t="n">
        <v>113932</v>
      </c>
      <c r="AI2" s="4" t="n">
        <v>128502</v>
      </c>
      <c r="AJ2" s="4" t="n">
        <v>130398</v>
      </c>
      <c r="AK2" s="4" t="n">
        <v>167886</v>
      </c>
    </row>
    <row r="3">
      <c r="A3" s="2" t="inlineStr">
        <is>
          <t>Sviluppo software su commessa</t>
        </is>
      </c>
      <c r="B3" s="4" t="n">
        <v>52107</v>
      </c>
      <c r="C3" s="4" t="n">
        <v>56296</v>
      </c>
      <c r="D3" s="4" t="n">
        <v>64336</v>
      </c>
      <c r="E3" s="4" t="n">
        <v>62966</v>
      </c>
      <c r="F3" s="4" t="n">
        <v>67341</v>
      </c>
      <c r="G3" s="4" t="n">
        <v>71138</v>
      </c>
      <c r="H3" s="4" t="n">
        <v>65864</v>
      </c>
      <c r="I3" s="4" t="n">
        <v>42085</v>
      </c>
      <c r="J3" s="4" t="n">
        <v>65645</v>
      </c>
      <c r="K3" s="4" t="n">
        <v>72212</v>
      </c>
      <c r="L3" s="4" t="n">
        <v>71468</v>
      </c>
      <c r="M3" s="4" t="n">
        <v>89742</v>
      </c>
      <c r="N3" s="4" t="n">
        <v>51626</v>
      </c>
      <c r="O3" s="4" t="n">
        <v>55777</v>
      </c>
      <c r="P3" s="4" t="n">
        <v>63743</v>
      </c>
      <c r="Q3" s="4" t="n">
        <v>62386</v>
      </c>
      <c r="R3" s="4" t="n">
        <v>66720</v>
      </c>
      <c r="S3" s="4" t="n">
        <v>70483</v>
      </c>
      <c r="T3" s="4" t="n">
        <v>65257</v>
      </c>
      <c r="U3" s="4" t="n">
        <v>41697</v>
      </c>
      <c r="V3" s="4" t="n">
        <v>65040</v>
      </c>
      <c r="W3" s="4" t="n">
        <v>71547</v>
      </c>
      <c r="X3" s="4" t="n">
        <v>70809</v>
      </c>
      <c r="Y3" s="4" t="n">
        <v>88915</v>
      </c>
      <c r="Z3" s="4" t="n">
        <v>51280</v>
      </c>
      <c r="AA3" s="4" t="n">
        <v>55402</v>
      </c>
      <c r="AB3" s="4" t="n">
        <v>63314</v>
      </c>
      <c r="AC3" s="4" t="n">
        <v>61967</v>
      </c>
      <c r="AD3" s="4" t="n">
        <v>66272</v>
      </c>
      <c r="AE3" s="4" t="n">
        <v>70009</v>
      </c>
      <c r="AF3" s="4" t="n">
        <v>64819</v>
      </c>
      <c r="AG3" s="4" t="n">
        <v>41417</v>
      </c>
      <c r="AH3" s="4" t="n">
        <v>64603</v>
      </c>
      <c r="AI3" s="4" t="n">
        <v>71066</v>
      </c>
      <c r="AJ3" s="4" t="n">
        <v>70333</v>
      </c>
      <c r="AK3" s="4" t="n">
        <v>88318</v>
      </c>
    </row>
    <row r="4">
      <c r="A4" s="2" t="inlineStr">
        <is>
          <t>Consulenza informatica e analisi dei dati</t>
        </is>
      </c>
      <c r="B4" s="4" t="n">
        <v>15659</v>
      </c>
      <c r="C4" s="4" t="n">
        <v>16890</v>
      </c>
      <c r="D4" s="4" t="n">
        <v>19270</v>
      </c>
      <c r="E4" s="4" t="n">
        <v>18829</v>
      </c>
      <c r="F4" s="4" t="n">
        <v>20103</v>
      </c>
      <c r="G4" s="4" t="n">
        <v>21202</v>
      </c>
      <c r="H4" s="4" t="n">
        <v>19597</v>
      </c>
      <c r="I4" s="4" t="n">
        <v>12501</v>
      </c>
      <c r="J4" s="4" t="n">
        <v>19467</v>
      </c>
      <c r="K4" s="4" t="n">
        <v>21379</v>
      </c>
      <c r="L4" s="4" t="n">
        <v>21123</v>
      </c>
      <c r="M4" s="4" t="n">
        <v>26480</v>
      </c>
      <c r="N4" s="4" t="n">
        <v>16653</v>
      </c>
      <c r="O4" s="4" t="n">
        <v>17962</v>
      </c>
      <c r="P4" s="4" t="n">
        <v>20493</v>
      </c>
      <c r="Q4" s="4" t="n">
        <v>20023</v>
      </c>
      <c r="R4" s="4" t="n">
        <v>21379</v>
      </c>
      <c r="S4" s="4" t="n">
        <v>22546</v>
      </c>
      <c r="T4" s="4" t="n">
        <v>20840</v>
      </c>
      <c r="U4" s="4" t="n">
        <v>13294</v>
      </c>
      <c r="V4" s="4" t="n">
        <v>20702</v>
      </c>
      <c r="W4" s="4" t="n">
        <v>22735</v>
      </c>
      <c r="X4" s="4" t="n">
        <v>22463</v>
      </c>
      <c r="Y4" s="4" t="n">
        <v>28160</v>
      </c>
      <c r="Z4" s="4" t="n">
        <v>16703</v>
      </c>
      <c r="AA4" s="4" t="n">
        <v>18016</v>
      </c>
      <c r="AB4" s="4" t="n">
        <v>20555</v>
      </c>
      <c r="AC4" s="4" t="n">
        <v>20084</v>
      </c>
      <c r="AD4" s="4" t="n">
        <v>21444</v>
      </c>
      <c r="AE4" s="4" t="n">
        <v>22615</v>
      </c>
      <c r="AF4" s="4" t="n">
        <v>20904</v>
      </c>
      <c r="AG4" s="4" t="n">
        <v>13334</v>
      </c>
      <c r="AH4" s="4" t="n">
        <v>20765</v>
      </c>
      <c r="AI4" s="4" t="n">
        <v>22804</v>
      </c>
      <c r="AJ4" s="4" t="n">
        <v>22531</v>
      </c>
      <c r="AK4" s="4" t="n">
        <v>28245</v>
      </c>
    </row>
    <row r="5">
      <c r="A5" s="2" t="inlineStr">
        <is>
          <t>Formazione e assistenza tecnica</t>
        </is>
      </c>
      <c r="B5" s="4" t="n">
        <v>9487</v>
      </c>
      <c r="C5" s="4" t="n">
        <v>10216</v>
      </c>
      <c r="D5" s="4" t="n">
        <v>11636</v>
      </c>
      <c r="E5" s="4" t="n">
        <v>11350</v>
      </c>
      <c r="F5" s="4" t="n">
        <v>12098</v>
      </c>
      <c r="G5" s="4" t="n">
        <v>12738</v>
      </c>
      <c r="H5" s="4" t="n">
        <v>11755</v>
      </c>
      <c r="I5" s="4" t="n">
        <v>7486</v>
      </c>
      <c r="J5" s="4" t="n">
        <v>11638</v>
      </c>
      <c r="K5" s="4" t="n">
        <v>12759</v>
      </c>
      <c r="L5" s="4" t="n">
        <v>12586</v>
      </c>
      <c r="M5" s="4" t="n">
        <v>15751</v>
      </c>
      <c r="N5" s="4" t="n">
        <v>10966</v>
      </c>
      <c r="O5" s="4" t="n">
        <v>11809</v>
      </c>
      <c r="P5" s="4" t="n">
        <v>13450</v>
      </c>
      <c r="Q5" s="4" t="n">
        <v>13120</v>
      </c>
      <c r="R5" s="4" t="n">
        <v>13985</v>
      </c>
      <c r="S5" s="4" t="n">
        <v>14724</v>
      </c>
      <c r="T5" s="4" t="n">
        <v>13587</v>
      </c>
      <c r="U5" s="4" t="n">
        <v>8653</v>
      </c>
      <c r="V5" s="4" t="n">
        <v>13452</v>
      </c>
      <c r="W5" s="4" t="n">
        <v>14749</v>
      </c>
      <c r="X5" s="4" t="n">
        <v>14548</v>
      </c>
      <c r="Y5" s="4" t="n">
        <v>18207</v>
      </c>
      <c r="Z5" s="4" t="n">
        <v>11806</v>
      </c>
      <c r="AA5" s="4" t="n">
        <v>12713</v>
      </c>
      <c r="AB5" s="4" t="n">
        <v>14480</v>
      </c>
      <c r="AC5" s="4" t="n">
        <v>14125</v>
      </c>
      <c r="AD5" s="4" t="n">
        <v>15056</v>
      </c>
      <c r="AE5" s="4" t="n">
        <v>15852</v>
      </c>
      <c r="AF5" s="4" t="n">
        <v>14628</v>
      </c>
      <c r="AG5" s="4" t="n">
        <v>9316</v>
      </c>
      <c r="AH5" s="4" t="n">
        <v>14482</v>
      </c>
      <c r="AI5" s="4" t="n">
        <v>15878</v>
      </c>
      <c r="AJ5" s="4" t="n">
        <v>15662</v>
      </c>
      <c r="AK5" s="4" t="n">
        <v>19602</v>
      </c>
    </row>
    <row r="6">
      <c r="A6" s="2" t="inlineStr">
        <is>
          <t>Totale ricavi</t>
        </is>
      </c>
      <c r="B6" s="4">
        <f>SUM(B2:B5)</f>
        <v/>
      </c>
      <c r="C6" s="4">
        <f>SUM(C2:C5)</f>
        <v/>
      </c>
      <c r="D6" s="4">
        <f>SUM(D2:D5)</f>
        <v/>
      </c>
      <c r="E6" s="4">
        <f>SUM(E2:E5)</f>
        <v/>
      </c>
      <c r="F6" s="4">
        <f>SUM(F2:F5)</f>
        <v/>
      </c>
      <c r="G6" s="4">
        <f>SUM(G2:G5)</f>
        <v/>
      </c>
      <c r="H6" s="4">
        <f>SUM(H2:H5)</f>
        <v/>
      </c>
      <c r="I6" s="4">
        <f>SUM(I2:I5)</f>
        <v/>
      </c>
      <c r="J6" s="4">
        <f>SUM(J2:J5)</f>
        <v/>
      </c>
      <c r="K6" s="4">
        <f>SUM(K2:K5)</f>
        <v/>
      </c>
      <c r="L6" s="4">
        <f>SUM(L2:L5)</f>
        <v/>
      </c>
      <c r="M6" s="4">
        <f>SUM(M2:M5)</f>
        <v/>
      </c>
      <c r="N6" s="4">
        <f>SUM(N2:N5)</f>
        <v/>
      </c>
      <c r="O6" s="4">
        <f>SUM(O2:O5)</f>
        <v/>
      </c>
      <c r="P6" s="4">
        <f>SUM(P2:P5)</f>
        <v/>
      </c>
      <c r="Q6" s="4">
        <f>SUM(Q2:Q5)</f>
        <v/>
      </c>
      <c r="R6" s="4">
        <f>SUM(R2:R5)</f>
        <v/>
      </c>
      <c r="S6" s="4">
        <f>SUM(S2:S5)</f>
        <v/>
      </c>
      <c r="T6" s="4">
        <f>SUM(T2:T5)</f>
        <v/>
      </c>
      <c r="U6" s="4">
        <f>SUM(U2:U5)</f>
        <v/>
      </c>
      <c r="V6" s="4">
        <f>SUM(V2:V5)</f>
        <v/>
      </c>
      <c r="W6" s="4">
        <f>SUM(W2:W5)</f>
        <v/>
      </c>
      <c r="X6" s="4">
        <f>SUM(X2:X5)</f>
        <v/>
      </c>
      <c r="Y6" s="4">
        <f>SUM(Y2:Y5)</f>
        <v/>
      </c>
      <c r="Z6" s="4">
        <f>SUM(Z2:Z5)</f>
        <v/>
      </c>
      <c r="AA6" s="4">
        <f>SUM(AA2:AA5)</f>
        <v/>
      </c>
      <c r="AB6" s="4">
        <f>SUM(AB2:AB5)</f>
        <v/>
      </c>
      <c r="AC6" s="4">
        <f>SUM(AC2:AC5)</f>
        <v/>
      </c>
      <c r="AD6" s="4">
        <f>SUM(AD2:AD5)</f>
        <v/>
      </c>
      <c r="AE6" s="4">
        <f>SUM(AE2:AE5)</f>
        <v/>
      </c>
      <c r="AF6" s="4">
        <f>SUM(AF2:AF5)</f>
        <v/>
      </c>
      <c r="AG6" s="4">
        <f>SUM(AG2:AG5)</f>
        <v/>
      </c>
      <c r="AH6" s="4">
        <f>SUM(AH2:AH5)</f>
        <v/>
      </c>
      <c r="AI6" s="4">
        <f>SUM(AI2:AI5)</f>
        <v/>
      </c>
      <c r="AJ6" s="4">
        <f>SUM(AJ2:AJ5)</f>
        <v/>
      </c>
      <c r="AK6" s="4">
        <f>SUM(AK2:AK5)</f>
        <v/>
      </c>
    </row>
  </sheetData>
  <autoFilter ref="A1:A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5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Ricavi delle vendite e delle prestazioni</t>
        </is>
      </c>
      <c r="B2" s="4" t="n">
        <v>117834</v>
      </c>
      <c r="C2" s="4" t="n">
        <v>128355</v>
      </c>
      <c r="D2" s="4" t="n">
        <v>147916</v>
      </c>
      <c r="E2" s="4" t="n">
        <v>146002</v>
      </c>
      <c r="F2" s="4" t="n">
        <v>157503</v>
      </c>
      <c r="G2" s="4" t="n">
        <v>167857</v>
      </c>
      <c r="H2" s="4" t="n">
        <v>156812</v>
      </c>
      <c r="I2" s="4" t="n">
        <v>101116</v>
      </c>
      <c r="J2" s="4" t="n">
        <v>159194</v>
      </c>
      <c r="K2" s="4" t="n">
        <v>176779</v>
      </c>
      <c r="L2" s="4" t="n">
        <v>176645</v>
      </c>
      <c r="M2" s="4" t="n">
        <v>223987</v>
      </c>
      <c r="N2" s="4" t="n">
        <v>134794</v>
      </c>
      <c r="O2" s="4" t="n">
        <v>147082</v>
      </c>
      <c r="P2" s="4" t="n">
        <v>169788</v>
      </c>
      <c r="Q2" s="4" t="n">
        <v>167882</v>
      </c>
      <c r="R2" s="4" t="n">
        <v>181424</v>
      </c>
      <c r="S2" s="4" t="n">
        <v>193688</v>
      </c>
      <c r="T2" s="4" t="n">
        <v>181262</v>
      </c>
      <c r="U2" s="4" t="n">
        <v>117089</v>
      </c>
      <c r="V2" s="4" t="n">
        <v>184670</v>
      </c>
      <c r="W2" s="4" t="n">
        <v>205438</v>
      </c>
      <c r="X2" s="4" t="n">
        <v>205648</v>
      </c>
      <c r="Y2" s="4" t="n">
        <v>261235</v>
      </c>
      <c r="Z2" s="4" t="n">
        <v>153831</v>
      </c>
      <c r="AA2" s="4" t="n">
        <v>168151</v>
      </c>
      <c r="AB2" s="4" t="n">
        <v>194455</v>
      </c>
      <c r="AC2" s="4" t="n">
        <v>192617</v>
      </c>
      <c r="AD2" s="4" t="n">
        <v>208525</v>
      </c>
      <c r="AE2" s="4" t="n">
        <v>223020</v>
      </c>
      <c r="AF2" s="4" t="n">
        <v>209089</v>
      </c>
      <c r="AG2" s="4" t="n">
        <v>135305</v>
      </c>
      <c r="AH2" s="4" t="n">
        <v>213782</v>
      </c>
      <c r="AI2" s="4" t="n">
        <v>238250</v>
      </c>
      <c r="AJ2" s="4" t="n">
        <v>238924</v>
      </c>
      <c r="AK2" s="4" t="n">
        <v>304051</v>
      </c>
    </row>
    <row r="3">
      <c r="A3" s="2" t="inlineStr">
        <is>
          <t>Incrementi di immobilizzazioni per lavori interni</t>
        </is>
      </c>
      <c r="B3" s="4" t="n">
        <v>6125</v>
      </c>
      <c r="C3" s="4" t="n">
        <v>6125</v>
      </c>
      <c r="D3" s="4" t="n">
        <v>6125</v>
      </c>
      <c r="E3" s="4" t="n">
        <v>6125</v>
      </c>
      <c r="F3" s="4" t="n">
        <v>6125</v>
      </c>
      <c r="G3" s="4" t="n">
        <v>6125</v>
      </c>
      <c r="H3" s="4" t="n">
        <v>6125</v>
      </c>
      <c r="I3" s="4" t="n">
        <v>6125</v>
      </c>
      <c r="J3" s="4" t="n">
        <v>6125</v>
      </c>
      <c r="K3" s="4" t="n">
        <v>6125</v>
      </c>
      <c r="L3" s="4" t="n">
        <v>6125</v>
      </c>
      <c r="M3" s="4" t="n">
        <v>6125</v>
      </c>
      <c r="N3" s="4" t="n">
        <v>7584</v>
      </c>
      <c r="O3" s="4" t="n">
        <v>7584</v>
      </c>
      <c r="P3" s="4" t="n">
        <v>7584</v>
      </c>
      <c r="Q3" s="4" t="n">
        <v>7584</v>
      </c>
      <c r="R3" s="4" t="n">
        <v>7583</v>
      </c>
      <c r="S3" s="4" t="n">
        <v>7583</v>
      </c>
      <c r="T3" s="4" t="n">
        <v>7583</v>
      </c>
      <c r="U3" s="4" t="n">
        <v>7583</v>
      </c>
      <c r="V3" s="4" t="n">
        <v>7583</v>
      </c>
      <c r="W3" s="4" t="n">
        <v>7583</v>
      </c>
      <c r="X3" s="4" t="n">
        <v>7583</v>
      </c>
      <c r="Y3" s="4" t="n">
        <v>7583</v>
      </c>
      <c r="Z3" s="4" t="n">
        <v>8750</v>
      </c>
      <c r="AA3" s="4" t="n">
        <v>8750</v>
      </c>
      <c r="AB3" s="4" t="n">
        <v>8750</v>
      </c>
      <c r="AC3" s="4" t="n">
        <v>8750</v>
      </c>
      <c r="AD3" s="4" t="n">
        <v>8750</v>
      </c>
      <c r="AE3" s="4" t="n">
        <v>8750</v>
      </c>
      <c r="AF3" s="4" t="n">
        <v>8750</v>
      </c>
      <c r="AG3" s="4" t="n">
        <v>8750</v>
      </c>
      <c r="AH3" s="4" t="n">
        <v>8750</v>
      </c>
      <c r="AI3" s="4" t="n">
        <v>8750</v>
      </c>
      <c r="AJ3" s="4" t="n">
        <v>8750</v>
      </c>
      <c r="AK3" s="4" t="n">
        <v>8750</v>
      </c>
    </row>
    <row r="4">
      <c r="A4" s="2" t="inlineStr">
        <is>
          <t>Contributi in conto esercizio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38000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46000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52000</v>
      </c>
    </row>
    <row r="5">
      <c r="A5" s="2" t="inlineStr">
        <is>
          <t>Altri ricavi e proventi</t>
        </is>
      </c>
      <c r="B5" s="4" t="n">
        <v>412</v>
      </c>
      <c r="C5" s="4" t="n">
        <v>449</v>
      </c>
      <c r="D5" s="4" t="n">
        <v>518</v>
      </c>
      <c r="E5" s="4" t="n">
        <v>511</v>
      </c>
      <c r="F5" s="4" t="n">
        <v>551</v>
      </c>
      <c r="G5" s="4" t="n">
        <v>587</v>
      </c>
      <c r="H5" s="4" t="n">
        <v>549</v>
      </c>
      <c r="I5" s="4" t="n">
        <v>354</v>
      </c>
      <c r="J5" s="4" t="n">
        <v>557</v>
      </c>
      <c r="K5" s="4" t="n">
        <v>619</v>
      </c>
      <c r="L5" s="4" t="n">
        <v>618</v>
      </c>
      <c r="M5" s="4" t="n">
        <v>784</v>
      </c>
      <c r="N5" s="4" t="n">
        <v>472</v>
      </c>
      <c r="O5" s="4" t="n">
        <v>515</v>
      </c>
      <c r="P5" s="4" t="n">
        <v>594</v>
      </c>
      <c r="Q5" s="4" t="n">
        <v>588</v>
      </c>
      <c r="R5" s="4" t="n">
        <v>635</v>
      </c>
      <c r="S5" s="4" t="n">
        <v>678</v>
      </c>
      <c r="T5" s="4" t="n">
        <v>634</v>
      </c>
      <c r="U5" s="4" t="n">
        <v>410</v>
      </c>
      <c r="V5" s="4" t="n">
        <v>646</v>
      </c>
      <c r="W5" s="4" t="n">
        <v>719</v>
      </c>
      <c r="X5" s="4" t="n">
        <v>720</v>
      </c>
      <c r="Y5" s="4" t="n">
        <v>914</v>
      </c>
      <c r="Z5" s="4" t="n">
        <v>538</v>
      </c>
      <c r="AA5" s="4" t="n">
        <v>589</v>
      </c>
      <c r="AB5" s="4" t="n">
        <v>681</v>
      </c>
      <c r="AC5" s="4" t="n">
        <v>674</v>
      </c>
      <c r="AD5" s="4" t="n">
        <v>730</v>
      </c>
      <c r="AE5" s="4" t="n">
        <v>781</v>
      </c>
      <c r="AF5" s="4" t="n">
        <v>732</v>
      </c>
      <c r="AG5" s="4" t="n">
        <v>474</v>
      </c>
      <c r="AH5" s="4" t="n">
        <v>748</v>
      </c>
      <c r="AI5" s="4" t="n">
        <v>834</v>
      </c>
      <c r="AJ5" s="4" t="n">
        <v>836</v>
      </c>
      <c r="AK5" s="4" t="n">
        <v>1064</v>
      </c>
    </row>
    <row r="6">
      <c r="A6" s="2" t="inlineStr">
        <is>
          <t>Valore della produzione</t>
        </is>
      </c>
      <c r="B6" s="4">
        <f>SUM(B2:B5)</f>
        <v/>
      </c>
      <c r="C6" s="4">
        <f>SUM(C2:C5)</f>
        <v/>
      </c>
      <c r="D6" s="4">
        <f>SUM(D2:D5)</f>
        <v/>
      </c>
      <c r="E6" s="4">
        <f>SUM(E2:E5)</f>
        <v/>
      </c>
      <c r="F6" s="4">
        <f>SUM(F2:F5)</f>
        <v/>
      </c>
      <c r="G6" s="4">
        <f>SUM(G2:G5)</f>
        <v/>
      </c>
      <c r="H6" s="4">
        <f>SUM(H2:H5)</f>
        <v/>
      </c>
      <c r="I6" s="4">
        <f>SUM(I2:I5)</f>
        <v/>
      </c>
      <c r="J6" s="4">
        <f>SUM(J2:J5)</f>
        <v/>
      </c>
      <c r="K6" s="4">
        <f>SUM(K2:K5)</f>
        <v/>
      </c>
      <c r="L6" s="4">
        <f>SUM(L2:L5)</f>
        <v/>
      </c>
      <c r="M6" s="4">
        <f>SUM(M2:M5)</f>
        <v/>
      </c>
      <c r="N6" s="4">
        <f>SUM(N2:N5)</f>
        <v/>
      </c>
      <c r="O6" s="4">
        <f>SUM(O2:O5)</f>
        <v/>
      </c>
      <c r="P6" s="4">
        <f>SUM(P2:P5)</f>
        <v/>
      </c>
      <c r="Q6" s="4">
        <f>SUM(Q2:Q5)</f>
        <v/>
      </c>
      <c r="R6" s="4">
        <f>SUM(R2:R5)</f>
        <v/>
      </c>
      <c r="S6" s="4">
        <f>SUM(S2:S5)</f>
        <v/>
      </c>
      <c r="T6" s="4">
        <f>SUM(T2:T5)</f>
        <v/>
      </c>
      <c r="U6" s="4">
        <f>SUM(U2:U5)</f>
        <v/>
      </c>
      <c r="V6" s="4">
        <f>SUM(V2:V5)</f>
        <v/>
      </c>
      <c r="W6" s="4">
        <f>SUM(W2:W5)</f>
        <v/>
      </c>
      <c r="X6" s="4">
        <f>SUM(X2:X5)</f>
        <v/>
      </c>
      <c r="Y6" s="4">
        <f>SUM(Y2:Y5)</f>
        <v/>
      </c>
      <c r="Z6" s="4">
        <f>SUM(Z2:Z5)</f>
        <v/>
      </c>
      <c r="AA6" s="4">
        <f>SUM(AA2:AA5)</f>
        <v/>
      </c>
      <c r="AB6" s="4">
        <f>SUM(AB2:AB5)</f>
        <v/>
      </c>
      <c r="AC6" s="4">
        <f>SUM(AC2:AC5)</f>
        <v/>
      </c>
      <c r="AD6" s="4">
        <f>SUM(AD2:AD5)</f>
        <v/>
      </c>
      <c r="AE6" s="4">
        <f>SUM(AE2:AE5)</f>
        <v/>
      </c>
      <c r="AF6" s="4">
        <f>SUM(AF2:AF5)</f>
        <v/>
      </c>
      <c r="AG6" s="4">
        <f>SUM(AG2:AG5)</f>
        <v/>
      </c>
      <c r="AH6" s="4">
        <f>SUM(AH2:AH5)</f>
        <v/>
      </c>
      <c r="AI6" s="4">
        <f>SUM(AI2:AI5)</f>
        <v/>
      </c>
      <c r="AJ6" s="4">
        <f>SUM(AJ2:AJ5)</f>
        <v/>
      </c>
      <c r="AK6" s="4">
        <f>SUM(AK2:AK5)</f>
        <v/>
      </c>
    </row>
    <row r="7">
      <c r="A7" s="2" t="inlineStr">
        <is>
          <t>Consulenze e collaborazioni</t>
        </is>
      </c>
      <c r="B7" s="4" t="n">
        <v>12373</v>
      </c>
      <c r="C7" s="4" t="n">
        <v>13477</v>
      </c>
      <c r="D7" s="4" t="n">
        <v>15531</v>
      </c>
      <c r="E7" s="4" t="n">
        <v>15330</v>
      </c>
      <c r="F7" s="4" t="n">
        <v>16538</v>
      </c>
      <c r="G7" s="4" t="n">
        <v>17625</v>
      </c>
      <c r="H7" s="4" t="n">
        <v>16465</v>
      </c>
      <c r="I7" s="4" t="n">
        <v>10617</v>
      </c>
      <c r="J7" s="4" t="n">
        <v>16715</v>
      </c>
      <c r="K7" s="4" t="n">
        <v>18562</v>
      </c>
      <c r="L7" s="4" t="n">
        <v>18548</v>
      </c>
      <c r="M7" s="4" t="n">
        <v>23519</v>
      </c>
      <c r="N7" s="4" t="n">
        <v>13749</v>
      </c>
      <c r="O7" s="4" t="n">
        <v>15002</v>
      </c>
      <c r="P7" s="4" t="n">
        <v>17319</v>
      </c>
      <c r="Q7" s="4" t="n">
        <v>17124</v>
      </c>
      <c r="R7" s="4" t="n">
        <v>18505</v>
      </c>
      <c r="S7" s="4" t="n">
        <v>19756</v>
      </c>
      <c r="T7" s="4" t="n">
        <v>18489</v>
      </c>
      <c r="U7" s="4" t="n">
        <v>11943</v>
      </c>
      <c r="V7" s="4" t="n">
        <v>18836</v>
      </c>
      <c r="W7" s="4" t="n">
        <v>20955</v>
      </c>
      <c r="X7" s="4" t="n">
        <v>20976</v>
      </c>
      <c r="Y7" s="4" t="n">
        <v>26646</v>
      </c>
      <c r="Z7" s="4" t="n">
        <v>15229</v>
      </c>
      <c r="AA7" s="4" t="n">
        <v>16647</v>
      </c>
      <c r="AB7" s="4" t="n">
        <v>19251</v>
      </c>
      <c r="AC7" s="4" t="n">
        <v>19069</v>
      </c>
      <c r="AD7" s="4" t="n">
        <v>20644</v>
      </c>
      <c r="AE7" s="4" t="n">
        <v>22079</v>
      </c>
      <c r="AF7" s="4" t="n">
        <v>20700</v>
      </c>
      <c r="AG7" s="4" t="n">
        <v>13395</v>
      </c>
      <c r="AH7" s="4" t="n">
        <v>21164</v>
      </c>
      <c r="AI7" s="4" t="n">
        <v>23587</v>
      </c>
      <c r="AJ7" s="4" t="n">
        <v>23654</v>
      </c>
      <c r="AK7" s="4" t="n">
        <v>30101</v>
      </c>
    </row>
    <row r="8">
      <c r="A8" s="2" t="inlineStr">
        <is>
          <t>Licenze e servizi cloud</t>
        </is>
      </c>
      <c r="B8" s="4" t="n">
        <v>5152</v>
      </c>
      <c r="C8" s="4" t="n">
        <v>5423</v>
      </c>
      <c r="D8" s="4" t="n">
        <v>5905</v>
      </c>
      <c r="E8" s="4" t="n">
        <v>5859</v>
      </c>
      <c r="F8" s="4" t="n">
        <v>6132</v>
      </c>
      <c r="G8" s="4" t="n">
        <v>6370</v>
      </c>
      <c r="H8" s="4" t="n">
        <v>6115</v>
      </c>
      <c r="I8" s="4" t="n">
        <v>4700</v>
      </c>
      <c r="J8" s="4" t="n">
        <v>6171</v>
      </c>
      <c r="K8" s="4" t="n">
        <v>6571</v>
      </c>
      <c r="L8" s="4" t="n">
        <v>6568</v>
      </c>
      <c r="M8" s="4" t="n">
        <v>7574</v>
      </c>
      <c r="N8" s="4" t="n">
        <v>6071</v>
      </c>
      <c r="O8" s="4" t="n">
        <v>6397</v>
      </c>
      <c r="P8" s="4" t="n">
        <v>6973</v>
      </c>
      <c r="Q8" s="4" t="n">
        <v>6925</v>
      </c>
      <c r="R8" s="4" t="n">
        <v>7255</v>
      </c>
      <c r="S8" s="4" t="n">
        <v>7546</v>
      </c>
      <c r="T8" s="4" t="n">
        <v>7252</v>
      </c>
      <c r="U8" s="4" t="n">
        <v>5579</v>
      </c>
      <c r="V8" s="4" t="n">
        <v>7333</v>
      </c>
      <c r="W8" s="4" t="n">
        <v>7817</v>
      </c>
      <c r="X8" s="4" t="n">
        <v>7822</v>
      </c>
      <c r="Y8" s="4" t="n">
        <v>9030</v>
      </c>
      <c r="Z8" s="4" t="n">
        <v>7133</v>
      </c>
      <c r="AA8" s="4" t="n">
        <v>7525</v>
      </c>
      <c r="AB8" s="4" t="n">
        <v>8210</v>
      </c>
      <c r="AC8" s="4" t="n">
        <v>8164</v>
      </c>
      <c r="AD8" s="4" t="n">
        <v>8562</v>
      </c>
      <c r="AE8" s="4" t="n">
        <v>8914</v>
      </c>
      <c r="AF8" s="4" t="n">
        <v>8576</v>
      </c>
      <c r="AG8" s="4" t="n">
        <v>6605</v>
      </c>
      <c r="AH8" s="4" t="n">
        <v>8691</v>
      </c>
      <c r="AI8" s="4" t="n">
        <v>9274</v>
      </c>
      <c r="AJ8" s="4" t="n">
        <v>9290</v>
      </c>
      <c r="AK8" s="4" t="n">
        <v>10736</v>
      </c>
    </row>
    <row r="9">
      <c r="A9" s="2" t="inlineStr">
        <is>
          <t>Affitti, utenze e locazioni operative</t>
        </is>
      </c>
      <c r="B9" s="4" t="n">
        <v>8680</v>
      </c>
      <c r="C9" s="4" t="n">
        <v>8680</v>
      </c>
      <c r="D9" s="4" t="n">
        <v>8680</v>
      </c>
      <c r="E9" s="4" t="n">
        <v>8680</v>
      </c>
      <c r="F9" s="4" t="n">
        <v>8680</v>
      </c>
      <c r="G9" s="4" t="n">
        <v>8680</v>
      </c>
      <c r="H9" s="4" t="n">
        <v>8680</v>
      </c>
      <c r="I9" s="4" t="n">
        <v>8680</v>
      </c>
      <c r="J9" s="4" t="n">
        <v>8680</v>
      </c>
      <c r="K9" s="4" t="n">
        <v>8680</v>
      </c>
      <c r="L9" s="4" t="n">
        <v>8680</v>
      </c>
      <c r="M9" s="4" t="n">
        <v>8680</v>
      </c>
      <c r="N9" s="4" t="n">
        <v>9317</v>
      </c>
      <c r="O9" s="4" t="n">
        <v>9317</v>
      </c>
      <c r="P9" s="4" t="n">
        <v>9317</v>
      </c>
      <c r="Q9" s="4" t="n">
        <v>9317</v>
      </c>
      <c r="R9" s="4" t="n">
        <v>9317</v>
      </c>
      <c r="S9" s="4" t="n">
        <v>9317</v>
      </c>
      <c r="T9" s="4" t="n">
        <v>9317</v>
      </c>
      <c r="U9" s="4" t="n">
        <v>9317</v>
      </c>
      <c r="V9" s="4" t="n">
        <v>9316</v>
      </c>
      <c r="W9" s="4" t="n">
        <v>9316</v>
      </c>
      <c r="X9" s="4" t="n">
        <v>9316</v>
      </c>
      <c r="Y9" s="4" t="n">
        <v>9316</v>
      </c>
      <c r="Z9" s="4" t="n">
        <v>10127</v>
      </c>
      <c r="AA9" s="4" t="n">
        <v>10127</v>
      </c>
      <c r="AB9" s="4" t="n">
        <v>10127</v>
      </c>
      <c r="AC9" s="4" t="n">
        <v>10127</v>
      </c>
      <c r="AD9" s="4" t="n">
        <v>10127</v>
      </c>
      <c r="AE9" s="4" t="n">
        <v>10127</v>
      </c>
      <c r="AF9" s="4" t="n">
        <v>10127</v>
      </c>
      <c r="AG9" s="4" t="n">
        <v>10127</v>
      </c>
      <c r="AH9" s="4" t="n">
        <v>10126</v>
      </c>
      <c r="AI9" s="4" t="n">
        <v>10126</v>
      </c>
      <c r="AJ9" s="4" t="n">
        <v>10126</v>
      </c>
      <c r="AK9" s="4" t="n">
        <v>10126</v>
      </c>
    </row>
    <row r="10">
      <c r="A10" s="2" t="inlineStr">
        <is>
          <t>Marketing e vendite</t>
        </is>
      </c>
      <c r="B10" s="4" t="n">
        <v>2902</v>
      </c>
      <c r="C10" s="4" t="n">
        <v>4642</v>
      </c>
      <c r="D10" s="4" t="n">
        <v>8705</v>
      </c>
      <c r="E10" s="4" t="n">
        <v>8705</v>
      </c>
      <c r="F10" s="4" t="n">
        <v>8124</v>
      </c>
      <c r="G10" s="4" t="n">
        <v>5223</v>
      </c>
      <c r="H10" s="4" t="n">
        <v>2902</v>
      </c>
      <c r="I10" s="4" t="n">
        <v>1161</v>
      </c>
      <c r="J10" s="4" t="n">
        <v>8124</v>
      </c>
      <c r="K10" s="4" t="n">
        <v>10446</v>
      </c>
      <c r="L10" s="4" t="n">
        <v>7544</v>
      </c>
      <c r="M10" s="4" t="n">
        <v>4062</v>
      </c>
      <c r="N10" s="4" t="n">
        <v>3354</v>
      </c>
      <c r="O10" s="4" t="n">
        <v>5367</v>
      </c>
      <c r="P10" s="4" t="n">
        <v>10062</v>
      </c>
      <c r="Q10" s="4" t="n">
        <v>10062</v>
      </c>
      <c r="R10" s="4" t="n">
        <v>9391</v>
      </c>
      <c r="S10" s="4" t="n">
        <v>6037</v>
      </c>
      <c r="T10" s="4" t="n">
        <v>3354</v>
      </c>
      <c r="U10" s="4" t="n">
        <v>1342</v>
      </c>
      <c r="V10" s="4" t="n">
        <v>9391</v>
      </c>
      <c r="W10" s="4" t="n">
        <v>12074</v>
      </c>
      <c r="X10" s="4" t="n">
        <v>8720</v>
      </c>
      <c r="Y10" s="4" t="n">
        <v>4696</v>
      </c>
      <c r="Z10" s="4" t="n">
        <v>3770</v>
      </c>
      <c r="AA10" s="4" t="n">
        <v>6031</v>
      </c>
      <c r="AB10" s="4" t="n">
        <v>11309</v>
      </c>
      <c r="AC10" s="4" t="n">
        <v>11309</v>
      </c>
      <c r="AD10" s="4" t="n">
        <v>10555</v>
      </c>
      <c r="AE10" s="4" t="n">
        <v>6785</v>
      </c>
      <c r="AF10" s="4" t="n">
        <v>3770</v>
      </c>
      <c r="AG10" s="4" t="n">
        <v>1508</v>
      </c>
      <c r="AH10" s="4" t="n">
        <v>10555</v>
      </c>
      <c r="AI10" s="4" t="n">
        <v>13570</v>
      </c>
      <c r="AJ10" s="4" t="n">
        <v>9801</v>
      </c>
      <c r="AK10" s="4" t="n">
        <v>5277</v>
      </c>
    </row>
    <row r="11">
      <c r="A11" s="2" t="inlineStr">
        <is>
          <t>Altri costi di struttura</t>
        </is>
      </c>
      <c r="B11" s="4" t="n">
        <v>5302</v>
      </c>
      <c r="C11" s="4" t="n">
        <v>5776</v>
      </c>
      <c r="D11" s="4" t="n">
        <v>6656</v>
      </c>
      <c r="E11" s="4" t="n">
        <v>6570</v>
      </c>
      <c r="F11" s="4" t="n">
        <v>7088</v>
      </c>
      <c r="G11" s="4" t="n">
        <v>7554</v>
      </c>
      <c r="H11" s="4" t="n">
        <v>7057</v>
      </c>
      <c r="I11" s="4" t="n">
        <v>4550</v>
      </c>
      <c r="J11" s="4" t="n">
        <v>7164</v>
      </c>
      <c r="K11" s="4" t="n">
        <v>7955</v>
      </c>
      <c r="L11" s="4" t="n">
        <v>7949</v>
      </c>
      <c r="M11" s="4" t="n">
        <v>10079</v>
      </c>
      <c r="N11" s="4" t="n">
        <v>5931</v>
      </c>
      <c r="O11" s="4" t="n">
        <v>6472</v>
      </c>
      <c r="P11" s="4" t="n">
        <v>7471</v>
      </c>
      <c r="Q11" s="4" t="n">
        <v>7387</v>
      </c>
      <c r="R11" s="4" t="n">
        <v>7983</v>
      </c>
      <c r="S11" s="4" t="n">
        <v>8522</v>
      </c>
      <c r="T11" s="4" t="n">
        <v>7976</v>
      </c>
      <c r="U11" s="4" t="n">
        <v>5152</v>
      </c>
      <c r="V11" s="4" t="n">
        <v>8125</v>
      </c>
      <c r="W11" s="4" t="n">
        <v>9039</v>
      </c>
      <c r="X11" s="4" t="n">
        <v>9048</v>
      </c>
      <c r="Y11" s="4" t="n">
        <v>11494</v>
      </c>
      <c r="Z11" s="4" t="n">
        <v>6615</v>
      </c>
      <c r="AA11" s="4" t="n">
        <v>7230</v>
      </c>
      <c r="AB11" s="4" t="n">
        <v>8361</v>
      </c>
      <c r="AC11" s="4" t="n">
        <v>8282</v>
      </c>
      <c r="AD11" s="4" t="n">
        <v>8967</v>
      </c>
      <c r="AE11" s="4" t="n">
        <v>9590</v>
      </c>
      <c r="AF11" s="4" t="n">
        <v>8991</v>
      </c>
      <c r="AG11" s="4" t="n">
        <v>5818</v>
      </c>
      <c r="AH11" s="4" t="n">
        <v>9193</v>
      </c>
      <c r="AI11" s="4" t="n">
        <v>10245</v>
      </c>
      <c r="AJ11" s="4" t="n">
        <v>10274</v>
      </c>
      <c r="AK11" s="4" t="n">
        <v>13074</v>
      </c>
    </row>
    <row r="12">
      <c r="A12" s="2" t="inlineStr">
        <is>
          <t>Oneri diversi di gestione</t>
        </is>
      </c>
      <c r="B12" s="4" t="n">
        <v>471</v>
      </c>
      <c r="C12" s="4" t="n">
        <v>513</v>
      </c>
      <c r="D12" s="4" t="n">
        <v>592</v>
      </c>
      <c r="E12" s="4" t="n">
        <v>584</v>
      </c>
      <c r="F12" s="4" t="n">
        <v>630</v>
      </c>
      <c r="G12" s="4" t="n">
        <v>671</v>
      </c>
      <c r="H12" s="4" t="n">
        <v>627</v>
      </c>
      <c r="I12" s="4" t="n">
        <v>404</v>
      </c>
      <c r="J12" s="4" t="n">
        <v>637</v>
      </c>
      <c r="K12" s="4" t="n">
        <v>707</v>
      </c>
      <c r="L12" s="4" t="n">
        <v>707</v>
      </c>
      <c r="M12" s="4" t="n">
        <v>896</v>
      </c>
      <c r="N12" s="4" t="n">
        <v>539</v>
      </c>
      <c r="O12" s="4" t="n">
        <v>588</v>
      </c>
      <c r="P12" s="4" t="n">
        <v>679</v>
      </c>
      <c r="Q12" s="4" t="n">
        <v>672</v>
      </c>
      <c r="R12" s="4" t="n">
        <v>726</v>
      </c>
      <c r="S12" s="4" t="n">
        <v>775</v>
      </c>
      <c r="T12" s="4" t="n">
        <v>725</v>
      </c>
      <c r="U12" s="4" t="n">
        <v>468</v>
      </c>
      <c r="V12" s="4" t="n">
        <v>739</v>
      </c>
      <c r="W12" s="4" t="n">
        <v>822</v>
      </c>
      <c r="X12" s="4" t="n">
        <v>823</v>
      </c>
      <c r="Y12" s="4" t="n">
        <v>1045</v>
      </c>
      <c r="Z12" s="4" t="n">
        <v>615</v>
      </c>
      <c r="AA12" s="4" t="n">
        <v>673</v>
      </c>
      <c r="AB12" s="4" t="n">
        <v>778</v>
      </c>
      <c r="AC12" s="4" t="n">
        <v>770</v>
      </c>
      <c r="AD12" s="4" t="n">
        <v>834</v>
      </c>
      <c r="AE12" s="4" t="n">
        <v>892</v>
      </c>
      <c r="AF12" s="4" t="n">
        <v>836</v>
      </c>
      <c r="AG12" s="4" t="n">
        <v>541</v>
      </c>
      <c r="AH12" s="4" t="n">
        <v>855</v>
      </c>
      <c r="AI12" s="4" t="n">
        <v>953</v>
      </c>
      <c r="AJ12" s="4" t="n">
        <v>956</v>
      </c>
      <c r="AK12" s="4" t="n">
        <v>1216</v>
      </c>
    </row>
    <row r="13">
      <c r="A13" s="2" t="inlineStr">
        <is>
          <t>Svalutazione dei crediti</t>
        </is>
      </c>
      <c r="B13" s="4" t="n">
        <v>212</v>
      </c>
      <c r="C13" s="4" t="n">
        <v>231</v>
      </c>
      <c r="D13" s="4" t="n">
        <v>266</v>
      </c>
      <c r="E13" s="4" t="n">
        <v>263</v>
      </c>
      <c r="F13" s="4" t="n">
        <v>284</v>
      </c>
      <c r="G13" s="4" t="n">
        <v>302</v>
      </c>
      <c r="H13" s="4" t="n">
        <v>282</v>
      </c>
      <c r="I13" s="4" t="n">
        <v>182</v>
      </c>
      <c r="J13" s="4" t="n">
        <v>287</v>
      </c>
      <c r="K13" s="4" t="n">
        <v>318</v>
      </c>
      <c r="L13" s="4" t="n">
        <v>318</v>
      </c>
      <c r="M13" s="4" t="n">
        <v>403</v>
      </c>
      <c r="N13" s="4" t="n">
        <v>243</v>
      </c>
      <c r="O13" s="4" t="n">
        <v>265</v>
      </c>
      <c r="P13" s="4" t="n">
        <v>306</v>
      </c>
      <c r="Q13" s="4" t="n">
        <v>302</v>
      </c>
      <c r="R13" s="4" t="n">
        <v>327</v>
      </c>
      <c r="S13" s="4" t="n">
        <v>349</v>
      </c>
      <c r="T13" s="4" t="n">
        <v>326</v>
      </c>
      <c r="U13" s="4" t="n">
        <v>211</v>
      </c>
      <c r="V13" s="4" t="n">
        <v>332</v>
      </c>
      <c r="W13" s="4" t="n">
        <v>370</v>
      </c>
      <c r="X13" s="4" t="n">
        <v>370</v>
      </c>
      <c r="Y13" s="4" t="n">
        <v>470</v>
      </c>
      <c r="Z13" s="4" t="n">
        <v>277</v>
      </c>
      <c r="AA13" s="4" t="n">
        <v>303</v>
      </c>
      <c r="AB13" s="4" t="n">
        <v>350</v>
      </c>
      <c r="AC13" s="4" t="n">
        <v>347</v>
      </c>
      <c r="AD13" s="4" t="n">
        <v>375</v>
      </c>
      <c r="AE13" s="4" t="n">
        <v>401</v>
      </c>
      <c r="AF13" s="4" t="n">
        <v>376</v>
      </c>
      <c r="AG13" s="4" t="n">
        <v>244</v>
      </c>
      <c r="AH13" s="4" t="n">
        <v>385</v>
      </c>
      <c r="AI13" s="4" t="n">
        <v>429</v>
      </c>
      <c r="AJ13" s="4" t="n">
        <v>430</v>
      </c>
      <c r="AK13" s="4" t="n">
        <v>547</v>
      </c>
    </row>
    <row r="14">
      <c r="A14" s="2" t="inlineStr">
        <is>
          <t>Salari e stipendi</t>
        </is>
      </c>
      <c r="B14" s="4" t="n">
        <v>47755</v>
      </c>
      <c r="C14" s="4" t="n">
        <v>49811</v>
      </c>
      <c r="D14" s="4" t="n">
        <v>49811</v>
      </c>
      <c r="E14" s="4" t="n">
        <v>49811</v>
      </c>
      <c r="F14" s="4" t="n">
        <v>49811</v>
      </c>
      <c r="G14" s="4" t="n">
        <v>99621</v>
      </c>
      <c r="H14" s="4" t="n">
        <v>49811</v>
      </c>
      <c r="I14" s="4" t="n">
        <v>49811</v>
      </c>
      <c r="J14" s="4" t="n">
        <v>52532</v>
      </c>
      <c r="K14" s="4" t="n">
        <v>54791</v>
      </c>
      <c r="L14" s="4" t="n">
        <v>54791</v>
      </c>
      <c r="M14" s="4" t="n">
        <v>109582</v>
      </c>
      <c r="N14" s="4" t="n">
        <v>56161</v>
      </c>
      <c r="O14" s="4" t="n">
        <v>59189</v>
      </c>
      <c r="P14" s="4" t="n">
        <v>59189</v>
      </c>
      <c r="Q14" s="4" t="n">
        <v>59189</v>
      </c>
      <c r="R14" s="4" t="n">
        <v>61266</v>
      </c>
      <c r="S14" s="4" t="n">
        <v>122531</v>
      </c>
      <c r="T14" s="4" t="n">
        <v>61266</v>
      </c>
      <c r="U14" s="4" t="n">
        <v>61266</v>
      </c>
      <c r="V14" s="4" t="n">
        <v>63581</v>
      </c>
      <c r="W14" s="4" t="n">
        <v>63581</v>
      </c>
      <c r="X14" s="4" t="n">
        <v>63581</v>
      </c>
      <c r="Y14" s="4" t="n">
        <v>127162</v>
      </c>
      <c r="Z14" s="4" t="n">
        <v>67726</v>
      </c>
      <c r="AA14" s="4" t="n">
        <v>67726</v>
      </c>
      <c r="AB14" s="4" t="n">
        <v>67726</v>
      </c>
      <c r="AC14" s="4" t="n">
        <v>70768</v>
      </c>
      <c r="AD14" s="4" t="n">
        <v>70768</v>
      </c>
      <c r="AE14" s="4" t="n">
        <v>141536</v>
      </c>
      <c r="AF14" s="4" t="n">
        <v>70768</v>
      </c>
      <c r="AG14" s="4" t="n">
        <v>70768</v>
      </c>
      <c r="AH14" s="4" t="n">
        <v>74115</v>
      </c>
      <c r="AI14" s="4" t="n">
        <v>74115</v>
      </c>
      <c r="AJ14" s="4" t="n">
        <v>74115</v>
      </c>
      <c r="AK14" s="4" t="n">
        <v>148229</v>
      </c>
    </row>
    <row r="15">
      <c r="A15" s="2" t="inlineStr">
        <is>
          <t>Oneri sociali</t>
        </is>
      </c>
      <c r="B15" s="4" t="n">
        <v>12962</v>
      </c>
      <c r="C15" s="4" t="n">
        <v>13520</v>
      </c>
      <c r="D15" s="4" t="n">
        <v>13520</v>
      </c>
      <c r="E15" s="4" t="n">
        <v>13520</v>
      </c>
      <c r="F15" s="4" t="n">
        <v>13520</v>
      </c>
      <c r="G15" s="4" t="n">
        <v>27040</v>
      </c>
      <c r="H15" s="4" t="n">
        <v>13520</v>
      </c>
      <c r="I15" s="4" t="n">
        <v>13520</v>
      </c>
      <c r="J15" s="4" t="n">
        <v>14259</v>
      </c>
      <c r="K15" s="4" t="n">
        <v>14872</v>
      </c>
      <c r="L15" s="4" t="n">
        <v>14872</v>
      </c>
      <c r="M15" s="4" t="n">
        <v>29744</v>
      </c>
      <c r="N15" s="4" t="n">
        <v>15244</v>
      </c>
      <c r="O15" s="4" t="n">
        <v>16065</v>
      </c>
      <c r="P15" s="4" t="n">
        <v>16065</v>
      </c>
      <c r="Q15" s="4" t="n">
        <v>16065</v>
      </c>
      <c r="R15" s="4" t="n">
        <v>16629</v>
      </c>
      <c r="S15" s="4" t="n">
        <v>33259</v>
      </c>
      <c r="T15" s="4" t="n">
        <v>16629</v>
      </c>
      <c r="U15" s="4" t="n">
        <v>16629</v>
      </c>
      <c r="V15" s="4" t="n">
        <v>17258</v>
      </c>
      <c r="W15" s="4" t="n">
        <v>17258</v>
      </c>
      <c r="X15" s="4" t="n">
        <v>17258</v>
      </c>
      <c r="Y15" s="4" t="n">
        <v>34515</v>
      </c>
      <c r="Z15" s="4" t="n">
        <v>18383</v>
      </c>
      <c r="AA15" s="4" t="n">
        <v>18383</v>
      </c>
      <c r="AB15" s="4" t="n">
        <v>18383</v>
      </c>
      <c r="AC15" s="4" t="n">
        <v>19208</v>
      </c>
      <c r="AD15" s="4" t="n">
        <v>19208</v>
      </c>
      <c r="AE15" s="4" t="n">
        <v>38417</v>
      </c>
      <c r="AF15" s="4" t="n">
        <v>19208</v>
      </c>
      <c r="AG15" s="4" t="n">
        <v>19208</v>
      </c>
      <c r="AH15" s="4" t="n">
        <v>20117</v>
      </c>
      <c r="AI15" s="4" t="n">
        <v>20117</v>
      </c>
      <c r="AJ15" s="4" t="n">
        <v>20117</v>
      </c>
      <c r="AK15" s="4" t="n">
        <v>40234</v>
      </c>
    </row>
    <row r="16">
      <c r="A16" s="2" t="inlineStr">
        <is>
          <t>Trattamento di fine rapporto</t>
        </is>
      </c>
      <c r="B16" s="4" t="n">
        <v>3206</v>
      </c>
      <c r="C16" s="4" t="n">
        <v>3344</v>
      </c>
      <c r="D16" s="4" t="n">
        <v>3344</v>
      </c>
      <c r="E16" s="4" t="n">
        <v>3344</v>
      </c>
      <c r="F16" s="4" t="n">
        <v>3344</v>
      </c>
      <c r="G16" s="4" t="n">
        <v>6689</v>
      </c>
      <c r="H16" s="4" t="n">
        <v>3344</v>
      </c>
      <c r="I16" s="4" t="n">
        <v>3344</v>
      </c>
      <c r="J16" s="4" t="n">
        <v>3527</v>
      </c>
      <c r="K16" s="4" t="n">
        <v>3679</v>
      </c>
      <c r="L16" s="4" t="n">
        <v>3679</v>
      </c>
      <c r="M16" s="4" t="n">
        <v>7358</v>
      </c>
      <c r="N16" s="4" t="n">
        <v>3771</v>
      </c>
      <c r="O16" s="4" t="n">
        <v>3974</v>
      </c>
      <c r="P16" s="4" t="n">
        <v>3974</v>
      </c>
      <c r="Q16" s="4" t="n">
        <v>3974</v>
      </c>
      <c r="R16" s="4" t="n">
        <v>4114</v>
      </c>
      <c r="S16" s="4" t="n">
        <v>8227</v>
      </c>
      <c r="T16" s="4" t="n">
        <v>4114</v>
      </c>
      <c r="U16" s="4" t="n">
        <v>4114</v>
      </c>
      <c r="V16" s="4" t="n">
        <v>4269</v>
      </c>
      <c r="W16" s="4" t="n">
        <v>4269</v>
      </c>
      <c r="X16" s="4" t="n">
        <v>4269</v>
      </c>
      <c r="Y16" s="4" t="n">
        <v>8538</v>
      </c>
      <c r="Z16" s="4" t="n">
        <v>4547</v>
      </c>
      <c r="AA16" s="4" t="n">
        <v>4547</v>
      </c>
      <c r="AB16" s="4" t="n">
        <v>4547</v>
      </c>
      <c r="AC16" s="4" t="n">
        <v>4752</v>
      </c>
      <c r="AD16" s="4" t="n">
        <v>4752</v>
      </c>
      <c r="AE16" s="4" t="n">
        <v>9503</v>
      </c>
      <c r="AF16" s="4" t="n">
        <v>4752</v>
      </c>
      <c r="AG16" s="4" t="n">
        <v>4752</v>
      </c>
      <c r="AH16" s="4" t="n">
        <v>4976</v>
      </c>
      <c r="AI16" s="4" t="n">
        <v>4976</v>
      </c>
      <c r="AJ16" s="4" t="n">
        <v>4976</v>
      </c>
      <c r="AK16" s="4" t="n">
        <v>9952</v>
      </c>
    </row>
    <row r="17">
      <c r="A17" s="2" t="inlineStr">
        <is>
          <t>Altri costi del personale (premi, welfare, buoni pasto)</t>
        </is>
      </c>
      <c r="B17" s="4" t="n">
        <v>4298</v>
      </c>
      <c r="C17" s="4" t="n">
        <v>4483</v>
      </c>
      <c r="D17" s="4" t="n">
        <v>4483</v>
      </c>
      <c r="E17" s="4" t="n">
        <v>4483</v>
      </c>
      <c r="F17" s="4" t="n">
        <v>4483</v>
      </c>
      <c r="G17" s="4" t="n">
        <v>8966</v>
      </c>
      <c r="H17" s="4" t="n">
        <v>4483</v>
      </c>
      <c r="I17" s="4" t="n">
        <v>4483</v>
      </c>
      <c r="J17" s="4" t="n">
        <v>4728</v>
      </c>
      <c r="K17" s="4" t="n">
        <v>4931</v>
      </c>
      <c r="L17" s="4" t="n">
        <v>4931</v>
      </c>
      <c r="M17" s="4" t="n">
        <v>9862</v>
      </c>
      <c r="N17" s="4" t="n">
        <v>5054</v>
      </c>
      <c r="O17" s="4" t="n">
        <v>5327</v>
      </c>
      <c r="P17" s="4" t="n">
        <v>5327</v>
      </c>
      <c r="Q17" s="4" t="n">
        <v>5327</v>
      </c>
      <c r="R17" s="4" t="n">
        <v>5514</v>
      </c>
      <c r="S17" s="4" t="n">
        <v>11028</v>
      </c>
      <c r="T17" s="4" t="n">
        <v>5514</v>
      </c>
      <c r="U17" s="4" t="n">
        <v>5514</v>
      </c>
      <c r="V17" s="4" t="n">
        <v>5722</v>
      </c>
      <c r="W17" s="4" t="n">
        <v>5722</v>
      </c>
      <c r="X17" s="4" t="n">
        <v>5722</v>
      </c>
      <c r="Y17" s="4" t="n">
        <v>11445</v>
      </c>
      <c r="Z17" s="4" t="n">
        <v>6095</v>
      </c>
      <c r="AA17" s="4" t="n">
        <v>6095</v>
      </c>
      <c r="AB17" s="4" t="n">
        <v>6095</v>
      </c>
      <c r="AC17" s="4" t="n">
        <v>6369</v>
      </c>
      <c r="AD17" s="4" t="n">
        <v>6369</v>
      </c>
      <c r="AE17" s="4" t="n">
        <v>12738</v>
      </c>
      <c r="AF17" s="4" t="n">
        <v>6369</v>
      </c>
      <c r="AG17" s="4" t="n">
        <v>6369</v>
      </c>
      <c r="AH17" s="4" t="n">
        <v>6670</v>
      </c>
      <c r="AI17" s="4" t="n">
        <v>6670</v>
      </c>
      <c r="AJ17" s="4" t="n">
        <v>6670</v>
      </c>
      <c r="AK17" s="4" t="n">
        <v>13341</v>
      </c>
    </row>
    <row r="18">
      <c r="A18" s="2" t="inlineStr">
        <is>
          <t>Totale costi operativi (senza ammortamenti)</t>
        </is>
      </c>
      <c r="B18" s="4">
        <f>SUM(B7:B17)</f>
        <v/>
      </c>
      <c r="C18" s="4">
        <f>SUM(C7:C17)</f>
        <v/>
      </c>
      <c r="D18" s="4">
        <f>SUM(D7:D17)</f>
        <v/>
      </c>
      <c r="E18" s="4">
        <f>SUM(E7:E17)</f>
        <v/>
      </c>
      <c r="F18" s="4">
        <f>SUM(F7:F17)</f>
        <v/>
      </c>
      <c r="G18" s="4">
        <f>SUM(G7:G17)</f>
        <v/>
      </c>
      <c r="H18" s="4">
        <f>SUM(H7:H17)</f>
        <v/>
      </c>
      <c r="I18" s="4">
        <f>SUM(I7:I17)</f>
        <v/>
      </c>
      <c r="J18" s="4">
        <f>SUM(J7:J17)</f>
        <v/>
      </c>
      <c r="K18" s="4">
        <f>SUM(K7:K17)</f>
        <v/>
      </c>
      <c r="L18" s="4">
        <f>SUM(L7:L17)</f>
        <v/>
      </c>
      <c r="M18" s="4">
        <f>SUM(M7:M17)</f>
        <v/>
      </c>
      <c r="N18" s="4">
        <f>SUM(N7:N17)</f>
        <v/>
      </c>
      <c r="O18" s="4">
        <f>SUM(O7:O17)</f>
        <v/>
      </c>
      <c r="P18" s="4">
        <f>SUM(P7:P17)</f>
        <v/>
      </c>
      <c r="Q18" s="4">
        <f>SUM(Q7:Q17)</f>
        <v/>
      </c>
      <c r="R18" s="4">
        <f>SUM(R7:R17)</f>
        <v/>
      </c>
      <c r="S18" s="4">
        <f>SUM(S7:S17)</f>
        <v/>
      </c>
      <c r="T18" s="4">
        <f>SUM(T7:T17)</f>
        <v/>
      </c>
      <c r="U18" s="4">
        <f>SUM(U7:U17)</f>
        <v/>
      </c>
      <c r="V18" s="4">
        <f>SUM(V7:V17)</f>
        <v/>
      </c>
      <c r="W18" s="4">
        <f>SUM(W7:W17)</f>
        <v/>
      </c>
      <c r="X18" s="4">
        <f>SUM(X7:X17)</f>
        <v/>
      </c>
      <c r="Y18" s="4">
        <f>SUM(Y7:Y17)</f>
        <v/>
      </c>
      <c r="Z18" s="4">
        <f>SUM(Z7:Z17)</f>
        <v/>
      </c>
      <c r="AA18" s="4">
        <f>SUM(AA7:AA17)</f>
        <v/>
      </c>
      <c r="AB18" s="4">
        <f>SUM(AB7:AB17)</f>
        <v/>
      </c>
      <c r="AC18" s="4">
        <f>SUM(AC7:AC17)</f>
        <v/>
      </c>
      <c r="AD18" s="4">
        <f>SUM(AD7:AD17)</f>
        <v/>
      </c>
      <c r="AE18" s="4">
        <f>SUM(AE7:AE17)</f>
        <v/>
      </c>
      <c r="AF18" s="4">
        <f>SUM(AF7:AF17)</f>
        <v/>
      </c>
      <c r="AG18" s="4">
        <f>SUM(AG7:AG17)</f>
        <v/>
      </c>
      <c r="AH18" s="4">
        <f>SUM(AH7:AH17)</f>
        <v/>
      </c>
      <c r="AI18" s="4">
        <f>SUM(AI7:AI17)</f>
        <v/>
      </c>
      <c r="AJ18" s="4">
        <f>SUM(AJ7:AJ17)</f>
        <v/>
      </c>
      <c r="AK18" s="4">
        <f>SUM(AK7:AK17)</f>
        <v/>
      </c>
    </row>
    <row r="19">
      <c r="A19" s="2" t="inlineStr">
        <is>
          <t>EBITDA</t>
        </is>
      </c>
      <c r="B19" s="4">
        <f>B6-B18</f>
        <v/>
      </c>
      <c r="C19" s="4">
        <f>C6-C18</f>
        <v/>
      </c>
      <c r="D19" s="4">
        <f>D6-D18</f>
        <v/>
      </c>
      <c r="E19" s="4">
        <f>E6-E18</f>
        <v/>
      </c>
      <c r="F19" s="4">
        <f>F6-F18</f>
        <v/>
      </c>
      <c r="G19" s="4">
        <f>G6-G18</f>
        <v/>
      </c>
      <c r="H19" s="4">
        <f>H6-H18</f>
        <v/>
      </c>
      <c r="I19" s="4">
        <f>I6-I18</f>
        <v/>
      </c>
      <c r="J19" s="4">
        <f>J6-J18</f>
        <v/>
      </c>
      <c r="K19" s="4">
        <f>K6-K18</f>
        <v/>
      </c>
      <c r="L19" s="4">
        <f>L6-L18</f>
        <v/>
      </c>
      <c r="M19" s="4">
        <f>M6-M18</f>
        <v/>
      </c>
      <c r="N19" s="4">
        <f>N6-N18</f>
        <v/>
      </c>
      <c r="O19" s="4">
        <f>O6-O18</f>
        <v/>
      </c>
      <c r="P19" s="4">
        <f>P6-P18</f>
        <v/>
      </c>
      <c r="Q19" s="4">
        <f>Q6-Q18</f>
        <v/>
      </c>
      <c r="R19" s="4">
        <f>R6-R18</f>
        <v/>
      </c>
      <c r="S19" s="4">
        <f>S6-S18</f>
        <v/>
      </c>
      <c r="T19" s="4">
        <f>T6-T18</f>
        <v/>
      </c>
      <c r="U19" s="4">
        <f>U6-U18</f>
        <v/>
      </c>
      <c r="V19" s="4">
        <f>V6-V18</f>
        <v/>
      </c>
      <c r="W19" s="4">
        <f>W6-W18</f>
        <v/>
      </c>
      <c r="X19" s="4">
        <f>X6-X18</f>
        <v/>
      </c>
      <c r="Y19" s="4">
        <f>Y6-Y18</f>
        <v/>
      </c>
      <c r="Z19" s="4">
        <f>Z6-Z18</f>
        <v/>
      </c>
      <c r="AA19" s="4">
        <f>AA6-AA18</f>
        <v/>
      </c>
      <c r="AB19" s="4">
        <f>AB6-AB18</f>
        <v/>
      </c>
      <c r="AC19" s="4">
        <f>AC6-AC18</f>
        <v/>
      </c>
      <c r="AD19" s="4">
        <f>AD6-AD18</f>
        <v/>
      </c>
      <c r="AE19" s="4">
        <f>AE6-AE18</f>
        <v/>
      </c>
      <c r="AF19" s="4">
        <f>AF6-AF18</f>
        <v/>
      </c>
      <c r="AG19" s="4">
        <f>AG6-AG18</f>
        <v/>
      </c>
      <c r="AH19" s="4">
        <f>AH6-AH18</f>
        <v/>
      </c>
      <c r="AI19" s="4">
        <f>AI6-AI18</f>
        <v/>
      </c>
      <c r="AJ19" s="4">
        <f>AJ6-AJ18</f>
        <v/>
      </c>
      <c r="AK19" s="4">
        <f>AK6-AK18</f>
        <v/>
      </c>
    </row>
    <row r="20">
      <c r="A20" s="2" t="inlineStr">
        <is>
          <t>Ammortamenti</t>
        </is>
      </c>
      <c r="B20" s="4" t="n">
        <v>6025</v>
      </c>
      <c r="C20" s="4" t="n">
        <v>6254</v>
      </c>
      <c r="D20" s="4" t="n">
        <v>6483</v>
      </c>
      <c r="E20" s="4" t="n">
        <v>6744</v>
      </c>
      <c r="F20" s="4" t="n">
        <v>6985</v>
      </c>
      <c r="G20" s="4" t="n">
        <v>7223</v>
      </c>
      <c r="H20" s="4" t="n">
        <v>7453</v>
      </c>
      <c r="I20" s="4" t="n">
        <v>7682</v>
      </c>
      <c r="J20" s="4" t="n">
        <v>7845</v>
      </c>
      <c r="K20" s="4" t="n">
        <v>8174</v>
      </c>
      <c r="L20" s="4" t="n">
        <v>8486</v>
      </c>
      <c r="M20" s="4" t="n">
        <v>8722</v>
      </c>
      <c r="N20" s="4" t="n">
        <v>7864</v>
      </c>
      <c r="O20" s="4" t="n">
        <v>8119</v>
      </c>
      <c r="P20" s="4" t="n">
        <v>8373</v>
      </c>
      <c r="Q20" s="4" t="n">
        <v>8662</v>
      </c>
      <c r="R20" s="4" t="n">
        <v>8932</v>
      </c>
      <c r="S20" s="4" t="n">
        <v>9194</v>
      </c>
      <c r="T20" s="4" t="n">
        <v>9451</v>
      </c>
      <c r="U20" s="4" t="n">
        <v>9704</v>
      </c>
      <c r="V20" s="4" t="n">
        <v>9891</v>
      </c>
      <c r="W20" s="4" t="n">
        <v>10249</v>
      </c>
      <c r="X20" s="4" t="n">
        <v>10587</v>
      </c>
      <c r="Y20" s="4" t="n">
        <v>10849</v>
      </c>
      <c r="Z20" s="4" t="n">
        <v>10069</v>
      </c>
      <c r="AA20" s="4" t="n">
        <v>10354</v>
      </c>
      <c r="AB20" s="4" t="n">
        <v>10637</v>
      </c>
      <c r="AC20" s="4" t="n">
        <v>10951</v>
      </c>
      <c r="AD20" s="4" t="n">
        <v>11248</v>
      </c>
      <c r="AE20" s="4" t="n">
        <v>11539</v>
      </c>
      <c r="AF20" s="4" t="n">
        <v>11825</v>
      </c>
      <c r="AG20" s="4" t="n">
        <v>12109</v>
      </c>
      <c r="AH20" s="4" t="n">
        <v>12321</v>
      </c>
      <c r="AI20" s="4" t="n">
        <v>12708</v>
      </c>
      <c r="AJ20" s="4" t="n">
        <v>13081</v>
      </c>
      <c r="AK20" s="4" t="n">
        <v>13371</v>
      </c>
    </row>
    <row r="21">
      <c r="A21" s="2" t="inlineStr">
        <is>
          <t>EBIT</t>
        </is>
      </c>
      <c r="B21" s="4">
        <f>B19-B20</f>
        <v/>
      </c>
      <c r="C21" s="4">
        <f>C19-C20</f>
        <v/>
      </c>
      <c r="D21" s="4">
        <f>D19-D20</f>
        <v/>
      </c>
      <c r="E21" s="4">
        <f>E19-E20</f>
        <v/>
      </c>
      <c r="F21" s="4">
        <f>F19-F20</f>
        <v/>
      </c>
      <c r="G21" s="4">
        <f>G19-G20</f>
        <v/>
      </c>
      <c r="H21" s="4">
        <f>H19-H20</f>
        <v/>
      </c>
      <c r="I21" s="4">
        <f>I19-I20</f>
        <v/>
      </c>
      <c r="J21" s="4">
        <f>J19-J20</f>
        <v/>
      </c>
      <c r="K21" s="4">
        <f>K19-K20</f>
        <v/>
      </c>
      <c r="L21" s="4">
        <f>L19-L20</f>
        <v/>
      </c>
      <c r="M21" s="4">
        <f>M19-M20</f>
        <v/>
      </c>
      <c r="N21" s="4">
        <f>N19-N20</f>
        <v/>
      </c>
      <c r="O21" s="4">
        <f>O19-O20</f>
        <v/>
      </c>
      <c r="P21" s="4">
        <f>P19-P20</f>
        <v/>
      </c>
      <c r="Q21" s="4">
        <f>Q19-Q20</f>
        <v/>
      </c>
      <c r="R21" s="4">
        <f>R19-R20</f>
        <v/>
      </c>
      <c r="S21" s="4">
        <f>S19-S20</f>
        <v/>
      </c>
      <c r="T21" s="4">
        <f>T19-T20</f>
        <v/>
      </c>
      <c r="U21" s="4">
        <f>U19-U20</f>
        <v/>
      </c>
      <c r="V21" s="4">
        <f>V19-V20</f>
        <v/>
      </c>
      <c r="W21" s="4">
        <f>W19-W20</f>
        <v/>
      </c>
      <c r="X21" s="4">
        <f>X19-X20</f>
        <v/>
      </c>
      <c r="Y21" s="4">
        <f>Y19-Y20</f>
        <v/>
      </c>
      <c r="Z21" s="4">
        <f>Z19-Z20</f>
        <v/>
      </c>
      <c r="AA21" s="4">
        <f>AA19-AA20</f>
        <v/>
      </c>
      <c r="AB21" s="4">
        <f>AB19-AB20</f>
        <v/>
      </c>
      <c r="AC21" s="4">
        <f>AC19-AC20</f>
        <v/>
      </c>
      <c r="AD21" s="4">
        <f>AD19-AD20</f>
        <v/>
      </c>
      <c r="AE21" s="4">
        <f>AE19-AE20</f>
        <v/>
      </c>
      <c r="AF21" s="4">
        <f>AF19-AF20</f>
        <v/>
      </c>
      <c r="AG21" s="4">
        <f>AG19-AG20</f>
        <v/>
      </c>
      <c r="AH21" s="4">
        <f>AH19-AH20</f>
        <v/>
      </c>
      <c r="AI21" s="4">
        <f>AI19-AI20</f>
        <v/>
      </c>
      <c r="AJ21" s="4">
        <f>AJ19-AJ20</f>
        <v/>
      </c>
      <c r="AK21" s="4">
        <f>AK19-AK20</f>
        <v/>
      </c>
    </row>
    <row r="22">
      <c r="A22" s="2" t="inlineStr">
        <is>
          <t>Oneri finanziari netti</t>
        </is>
      </c>
      <c r="B22" s="4" t="n">
        <v>249</v>
      </c>
      <c r="C22" s="4" t="n">
        <v>249</v>
      </c>
      <c r="D22" s="4" t="n">
        <v>249</v>
      </c>
      <c r="E22" s="4" t="n">
        <v>870</v>
      </c>
      <c r="F22" s="4" t="n">
        <v>870</v>
      </c>
      <c r="G22" s="4" t="n">
        <v>870</v>
      </c>
      <c r="H22" s="4" t="n">
        <v>823</v>
      </c>
      <c r="I22" s="4" t="n">
        <v>823</v>
      </c>
      <c r="J22" s="4" t="n">
        <v>823</v>
      </c>
      <c r="K22" s="4" t="n">
        <v>776</v>
      </c>
      <c r="L22" s="4" t="n">
        <v>776</v>
      </c>
      <c r="M22" s="4" t="n">
        <v>776</v>
      </c>
      <c r="N22" s="4" t="n">
        <v>728</v>
      </c>
      <c r="O22" s="4" t="n">
        <v>728</v>
      </c>
      <c r="P22" s="4" t="n">
        <v>728</v>
      </c>
      <c r="Q22" s="4" t="n">
        <v>639</v>
      </c>
      <c r="R22" s="4" t="n">
        <v>639</v>
      </c>
      <c r="S22" s="4" t="n">
        <v>639</v>
      </c>
      <c r="T22" s="4" t="n">
        <v>550</v>
      </c>
      <c r="U22" s="4" t="n">
        <v>550</v>
      </c>
      <c r="V22" s="4" t="n">
        <v>550</v>
      </c>
      <c r="W22" s="4" t="n">
        <v>476</v>
      </c>
      <c r="X22" s="4" t="n">
        <v>476</v>
      </c>
      <c r="Y22" s="4" t="n">
        <v>476</v>
      </c>
      <c r="Z22" s="4" t="n">
        <v>435</v>
      </c>
      <c r="AA22" s="4" t="n">
        <v>435</v>
      </c>
      <c r="AB22" s="4" t="n">
        <v>435</v>
      </c>
      <c r="AC22" s="4" t="n">
        <v>393</v>
      </c>
      <c r="AD22" s="4" t="n">
        <v>393</v>
      </c>
      <c r="AE22" s="4" t="n">
        <v>393</v>
      </c>
      <c r="AF22" s="4" t="n">
        <v>351</v>
      </c>
      <c r="AG22" s="4" t="n">
        <v>351</v>
      </c>
      <c r="AH22" s="4" t="n">
        <v>351</v>
      </c>
      <c r="AI22" s="4" t="n">
        <v>309</v>
      </c>
      <c r="AJ22" s="4" t="n">
        <v>309</v>
      </c>
      <c r="AK22" s="4" t="n">
        <v>309</v>
      </c>
    </row>
    <row r="23">
      <c r="A23" s="2" t="inlineStr">
        <is>
          <t>Risultato prima delle imposte</t>
        </is>
      </c>
      <c r="B23" s="4">
        <f>B21-B22</f>
        <v/>
      </c>
      <c r="C23" s="4">
        <f>C21-C22</f>
        <v/>
      </c>
      <c r="D23" s="4">
        <f>D21-D22</f>
        <v/>
      </c>
      <c r="E23" s="4">
        <f>E21-E22</f>
        <v/>
      </c>
      <c r="F23" s="4">
        <f>F21-F22</f>
        <v/>
      </c>
      <c r="G23" s="4">
        <f>G21-G22</f>
        <v/>
      </c>
      <c r="H23" s="4">
        <f>H21-H22</f>
        <v/>
      </c>
      <c r="I23" s="4">
        <f>I21-I22</f>
        <v/>
      </c>
      <c r="J23" s="4">
        <f>J21-J22</f>
        <v/>
      </c>
      <c r="K23" s="4">
        <f>K21-K22</f>
        <v/>
      </c>
      <c r="L23" s="4">
        <f>L21-L22</f>
        <v/>
      </c>
      <c r="M23" s="4">
        <f>M21-M22</f>
        <v/>
      </c>
      <c r="N23" s="4">
        <f>N21-N22</f>
        <v/>
      </c>
      <c r="O23" s="4">
        <f>O21-O22</f>
        <v/>
      </c>
      <c r="P23" s="4">
        <f>P21-P22</f>
        <v/>
      </c>
      <c r="Q23" s="4">
        <f>Q21-Q22</f>
        <v/>
      </c>
      <c r="R23" s="4">
        <f>R21-R22</f>
        <v/>
      </c>
      <c r="S23" s="4">
        <f>S21-S22</f>
        <v/>
      </c>
      <c r="T23" s="4">
        <f>T21-T22</f>
        <v/>
      </c>
      <c r="U23" s="4">
        <f>U21-U22</f>
        <v/>
      </c>
      <c r="V23" s="4">
        <f>V21-V22</f>
        <v/>
      </c>
      <c r="W23" s="4">
        <f>W21-W22</f>
        <v/>
      </c>
      <c r="X23" s="4">
        <f>X21-X22</f>
        <v/>
      </c>
      <c r="Y23" s="4">
        <f>Y21-Y22</f>
        <v/>
      </c>
      <c r="Z23" s="4">
        <f>Z21-Z22</f>
        <v/>
      </c>
      <c r="AA23" s="4">
        <f>AA21-AA22</f>
        <v/>
      </c>
      <c r="AB23" s="4">
        <f>AB21-AB22</f>
        <v/>
      </c>
      <c r="AC23" s="4">
        <f>AC21-AC22</f>
        <v/>
      </c>
      <c r="AD23" s="4">
        <f>AD21-AD22</f>
        <v/>
      </c>
      <c r="AE23" s="4">
        <f>AE21-AE22</f>
        <v/>
      </c>
      <c r="AF23" s="4">
        <f>AF21-AF22</f>
        <v/>
      </c>
      <c r="AG23" s="4">
        <f>AG21-AG22</f>
        <v/>
      </c>
      <c r="AH23" s="4">
        <f>AH21-AH22</f>
        <v/>
      </c>
      <c r="AI23" s="4">
        <f>AI21-AI22</f>
        <v/>
      </c>
      <c r="AJ23" s="4">
        <f>AJ21-AJ22</f>
        <v/>
      </c>
      <c r="AK23" s="4">
        <f>AK21-AK22</f>
        <v/>
      </c>
    </row>
    <row r="24">
      <c r="A24" s="2" t="inlineStr">
        <is>
          <t>Imposte</t>
        </is>
      </c>
      <c r="B24" s="4" t="n">
        <v>4197</v>
      </c>
      <c r="C24" s="4" t="n">
        <v>5230</v>
      </c>
      <c r="D24" s="4" t="n">
        <v>8468</v>
      </c>
      <c r="E24" s="4" t="n">
        <v>7821</v>
      </c>
      <c r="F24" s="4" t="n">
        <v>10505</v>
      </c>
      <c r="G24" s="4" t="n">
        <v>0</v>
      </c>
      <c r="H24" s="4" t="n">
        <v>11653</v>
      </c>
      <c r="I24" s="4" t="n">
        <v>0</v>
      </c>
      <c r="J24" s="4" t="n">
        <v>9607</v>
      </c>
      <c r="K24" s="4" t="n">
        <v>11989</v>
      </c>
      <c r="L24" s="4" t="n">
        <v>12662</v>
      </c>
      <c r="M24" s="4" t="n">
        <v>4181</v>
      </c>
      <c r="N24" s="4" t="n">
        <v>4252</v>
      </c>
      <c r="O24" s="4" t="n">
        <v>5233</v>
      </c>
      <c r="P24" s="4" t="n">
        <v>9021</v>
      </c>
      <c r="Q24" s="4" t="n">
        <v>8532</v>
      </c>
      <c r="R24" s="4" t="n">
        <v>10899</v>
      </c>
      <c r="S24" s="4" t="n">
        <v>0</v>
      </c>
      <c r="T24" s="4" t="n">
        <v>12383</v>
      </c>
      <c r="U24" s="4" t="n">
        <v>0</v>
      </c>
      <c r="V24" s="4" t="n">
        <v>10495</v>
      </c>
      <c r="W24" s="4" t="n">
        <v>14391</v>
      </c>
      <c r="X24" s="4" t="n">
        <v>15259</v>
      </c>
      <c r="Y24" s="4" t="n">
        <v>5677</v>
      </c>
      <c r="Z24" s="4" t="n">
        <v>3527</v>
      </c>
      <c r="AA24" s="4" t="n">
        <v>6079</v>
      </c>
      <c r="AB24" s="4" t="n">
        <v>10537</v>
      </c>
      <c r="AC24" s="4" t="n">
        <v>8863</v>
      </c>
      <c r="AD24" s="4" t="n">
        <v>12602</v>
      </c>
      <c r="AE24" s="4" t="n">
        <v>0</v>
      </c>
      <c r="AF24" s="4" t="n">
        <v>14428</v>
      </c>
      <c r="AG24" s="4" t="n">
        <v>0</v>
      </c>
      <c r="AH24" s="4" t="n">
        <v>12215</v>
      </c>
      <c r="AI24" s="4" t="n">
        <v>16868</v>
      </c>
      <c r="AJ24" s="4" t="n">
        <v>17945</v>
      </c>
      <c r="AK24" s="4" t="n">
        <v>6820</v>
      </c>
    </row>
    <row r="25">
      <c r="A25" s="2" t="inlineStr">
        <is>
          <t>Utile netto</t>
        </is>
      </c>
      <c r="B25" s="4">
        <f>B23-B24</f>
        <v/>
      </c>
      <c r="C25" s="4">
        <f>C23-C24</f>
        <v/>
      </c>
      <c r="D25" s="4">
        <f>D23-D24</f>
        <v/>
      </c>
      <c r="E25" s="4">
        <f>E23-E24</f>
        <v/>
      </c>
      <c r="F25" s="4">
        <f>F23-F24</f>
        <v/>
      </c>
      <c r="G25" s="4">
        <f>G23-G24</f>
        <v/>
      </c>
      <c r="H25" s="4">
        <f>H23-H24</f>
        <v/>
      </c>
      <c r="I25" s="4">
        <f>I23-I24</f>
        <v/>
      </c>
      <c r="J25" s="4">
        <f>J23-J24</f>
        <v/>
      </c>
      <c r="K25" s="4">
        <f>K23-K24</f>
        <v/>
      </c>
      <c r="L25" s="4">
        <f>L23-L24</f>
        <v/>
      </c>
      <c r="M25" s="4">
        <f>M23-M24</f>
        <v/>
      </c>
      <c r="N25" s="4">
        <f>N23-N24</f>
        <v/>
      </c>
      <c r="O25" s="4">
        <f>O23-O24</f>
        <v/>
      </c>
      <c r="P25" s="4">
        <f>P23-P24</f>
        <v/>
      </c>
      <c r="Q25" s="4">
        <f>Q23-Q24</f>
        <v/>
      </c>
      <c r="R25" s="4">
        <f>R23-R24</f>
        <v/>
      </c>
      <c r="S25" s="4">
        <f>S23-S24</f>
        <v/>
      </c>
      <c r="T25" s="4">
        <f>T23-T24</f>
        <v/>
      </c>
      <c r="U25" s="4">
        <f>U23-U24</f>
        <v/>
      </c>
      <c r="V25" s="4">
        <f>V23-V24</f>
        <v/>
      </c>
      <c r="W25" s="4">
        <f>W23-W24</f>
        <v/>
      </c>
      <c r="X25" s="4">
        <f>X23-X24</f>
        <v/>
      </c>
      <c r="Y25" s="4">
        <f>Y23-Y24</f>
        <v/>
      </c>
      <c r="Z25" s="4">
        <f>Z23-Z24</f>
        <v/>
      </c>
      <c r="AA25" s="4">
        <f>AA23-AA24</f>
        <v/>
      </c>
      <c r="AB25" s="4">
        <f>AB23-AB24</f>
        <v/>
      </c>
      <c r="AC25" s="4">
        <f>AC23-AC24</f>
        <v/>
      </c>
      <c r="AD25" s="4">
        <f>AD23-AD24</f>
        <v/>
      </c>
      <c r="AE25" s="4">
        <f>AE23-AE24</f>
        <v/>
      </c>
      <c r="AF25" s="4">
        <f>AF23-AF24</f>
        <v/>
      </c>
      <c r="AG25" s="4">
        <f>AG23-AG24</f>
        <v/>
      </c>
      <c r="AH25" s="4">
        <f>AH23-AH24</f>
        <v/>
      </c>
      <c r="AI25" s="4">
        <f>AI23-AI24</f>
        <v/>
      </c>
      <c r="AJ25" s="4">
        <f>AJ23-AJ24</f>
        <v/>
      </c>
      <c r="AK25" s="4">
        <f>AK23-AK24</f>
        <v/>
      </c>
    </row>
  </sheetData>
  <autoFilter ref="A1:AK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7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 ht="32" customHeight="1">
      <c r="A1" s="1" t="inlineStr">
        <is>
          <t>Matricola</t>
        </is>
      </c>
      <c r="B1" s="1" t="inlineStr">
        <is>
          <t>Ruolo</t>
        </is>
      </c>
      <c r="C1" s="1" t="inlineStr">
        <is>
          <t>Area</t>
        </is>
      </c>
      <c r="D1" s="1" t="inlineStr">
        <is>
          <t>Gen 2026</t>
        </is>
      </c>
      <c r="E1" s="1" t="inlineStr">
        <is>
          <t>Feb 2026</t>
        </is>
      </c>
      <c r="F1" s="1" t="inlineStr">
        <is>
          <t>Mar 2026</t>
        </is>
      </c>
      <c r="G1" s="1" t="inlineStr">
        <is>
          <t>Apr 2026</t>
        </is>
      </c>
      <c r="H1" s="1" t="inlineStr">
        <is>
          <t>Mag 2026</t>
        </is>
      </c>
      <c r="I1" s="1" t="inlineStr">
        <is>
          <t>Giu 2026</t>
        </is>
      </c>
      <c r="J1" s="1" t="inlineStr">
        <is>
          <t>Lug 2026</t>
        </is>
      </c>
      <c r="K1" s="1" t="inlineStr">
        <is>
          <t>Ago 2026</t>
        </is>
      </c>
      <c r="L1" s="1" t="inlineStr">
        <is>
          <t>Set 2026</t>
        </is>
      </c>
      <c r="M1" s="1" t="inlineStr">
        <is>
          <t>Ott 2026</t>
        </is>
      </c>
      <c r="N1" s="1" t="inlineStr">
        <is>
          <t>Nov 2026</t>
        </is>
      </c>
      <c r="O1" s="1" t="inlineStr">
        <is>
          <t>Dic 2026</t>
        </is>
      </c>
      <c r="P1" s="1" t="inlineStr">
        <is>
          <t>Gen 2027</t>
        </is>
      </c>
      <c r="Q1" s="1" t="inlineStr">
        <is>
          <t>Feb 2027</t>
        </is>
      </c>
      <c r="R1" s="1" t="inlineStr">
        <is>
          <t>Mar 2027</t>
        </is>
      </c>
      <c r="S1" s="1" t="inlineStr">
        <is>
          <t>Apr 2027</t>
        </is>
      </c>
      <c r="T1" s="1" t="inlineStr">
        <is>
          <t>Mag 2027</t>
        </is>
      </c>
      <c r="U1" s="1" t="inlineStr">
        <is>
          <t>Giu 2027</t>
        </is>
      </c>
      <c r="V1" s="1" t="inlineStr">
        <is>
          <t>Lug 2027</t>
        </is>
      </c>
      <c r="W1" s="1" t="inlineStr">
        <is>
          <t>Ago 2027</t>
        </is>
      </c>
      <c r="X1" s="1" t="inlineStr">
        <is>
          <t>Set 2027</t>
        </is>
      </c>
      <c r="Y1" s="1" t="inlineStr">
        <is>
          <t>Ott 2027</t>
        </is>
      </c>
      <c r="Z1" s="1" t="inlineStr">
        <is>
          <t>Nov 2027</t>
        </is>
      </c>
      <c r="AA1" s="1" t="inlineStr">
        <is>
          <t>Dic 2027</t>
        </is>
      </c>
      <c r="AB1" s="1" t="inlineStr">
        <is>
          <t>Gen 2028</t>
        </is>
      </c>
      <c r="AC1" s="1" t="inlineStr">
        <is>
          <t>Feb 2028</t>
        </is>
      </c>
      <c r="AD1" s="1" t="inlineStr">
        <is>
          <t>Mar 2028</t>
        </is>
      </c>
      <c r="AE1" s="1" t="inlineStr">
        <is>
          <t>Apr 2028</t>
        </is>
      </c>
      <c r="AF1" s="1" t="inlineStr">
        <is>
          <t>Mag 2028</t>
        </is>
      </c>
      <c r="AG1" s="1" t="inlineStr">
        <is>
          <t>Giu 2028</t>
        </is>
      </c>
      <c r="AH1" s="1" t="inlineStr">
        <is>
          <t>Lug 2028</t>
        </is>
      </c>
      <c r="AI1" s="1" t="inlineStr">
        <is>
          <t>Ago 2028</t>
        </is>
      </c>
      <c r="AJ1" s="1" t="inlineStr">
        <is>
          <t>Set 2028</t>
        </is>
      </c>
      <c r="AK1" s="1" t="inlineStr">
        <is>
          <t>Ott 2028</t>
        </is>
      </c>
      <c r="AL1" s="1" t="inlineStr">
        <is>
          <t>Nov 2028</t>
        </is>
      </c>
      <c r="AM1" s="1" t="inlineStr">
        <is>
          <t>Dic 2028</t>
        </is>
      </c>
    </row>
    <row r="2">
      <c r="A2" s="2" t="inlineStr">
        <is>
          <t>M001</t>
        </is>
      </c>
      <c r="B2" s="2" t="inlineStr">
        <is>
          <t>Amministratore e direttore tecnico</t>
        </is>
      </c>
      <c r="C2" s="2" t="inlineStr">
        <is>
          <t>Progetto e design</t>
        </is>
      </c>
      <c r="D2" s="4" t="n">
        <v>5711</v>
      </c>
      <c r="E2" s="4" t="n">
        <v>5711</v>
      </c>
      <c r="F2" s="4" t="n">
        <v>5711</v>
      </c>
      <c r="G2" s="4" t="n">
        <v>5711</v>
      </c>
      <c r="H2" s="4" t="n">
        <v>5711</v>
      </c>
      <c r="I2" s="4" t="n">
        <v>11421</v>
      </c>
      <c r="J2" s="4" t="n">
        <v>5711</v>
      </c>
      <c r="K2" s="4" t="n">
        <v>5711</v>
      </c>
      <c r="L2" s="4" t="n">
        <v>5711</v>
      </c>
      <c r="M2" s="4" t="n">
        <v>5711</v>
      </c>
      <c r="N2" s="4" t="n">
        <v>5711</v>
      </c>
      <c r="O2" s="4" t="n">
        <v>11421</v>
      </c>
      <c r="P2" s="4" t="n">
        <v>5853</v>
      </c>
      <c r="Q2" s="4" t="n">
        <v>5853</v>
      </c>
      <c r="R2" s="4" t="n">
        <v>5853</v>
      </c>
      <c r="S2" s="4" t="n">
        <v>5853</v>
      </c>
      <c r="T2" s="4" t="n">
        <v>5853</v>
      </c>
      <c r="U2" s="4" t="n">
        <v>11707</v>
      </c>
      <c r="V2" s="4" t="n">
        <v>5853</v>
      </c>
      <c r="W2" s="4" t="n">
        <v>5853</v>
      </c>
      <c r="X2" s="4" t="n">
        <v>5853</v>
      </c>
      <c r="Y2" s="4" t="n">
        <v>5853</v>
      </c>
      <c r="Z2" s="4" t="n">
        <v>5853</v>
      </c>
      <c r="AA2" s="4" t="n">
        <v>11707</v>
      </c>
      <c r="AB2" s="4" t="n">
        <v>6000</v>
      </c>
      <c r="AC2" s="4" t="n">
        <v>6000</v>
      </c>
      <c r="AD2" s="4" t="n">
        <v>6000</v>
      </c>
      <c r="AE2" s="4" t="n">
        <v>6000</v>
      </c>
      <c r="AF2" s="4" t="n">
        <v>6000</v>
      </c>
      <c r="AG2" s="4" t="n">
        <v>12000</v>
      </c>
      <c r="AH2" s="4" t="n">
        <v>6000</v>
      </c>
      <c r="AI2" s="4" t="n">
        <v>6000</v>
      </c>
      <c r="AJ2" s="4" t="n">
        <v>6000</v>
      </c>
      <c r="AK2" s="4" t="n">
        <v>6000</v>
      </c>
      <c r="AL2" s="4" t="n">
        <v>6000</v>
      </c>
      <c r="AM2" s="4" t="n">
        <v>12000</v>
      </c>
    </row>
    <row r="3">
      <c r="A3" s="2" t="inlineStr">
        <is>
          <t>M002</t>
        </is>
      </c>
      <c r="B3" s="2" t="inlineStr">
        <is>
          <t>Responsabile sviluppo</t>
        </is>
      </c>
      <c r="C3" s="2" t="inlineStr">
        <is>
          <t>Sviluppo e dati</t>
        </is>
      </c>
      <c r="D3" s="4" t="n">
        <v>5052</v>
      </c>
      <c r="E3" s="4" t="n">
        <v>5052</v>
      </c>
      <c r="F3" s="4" t="n">
        <v>5052</v>
      </c>
      <c r="G3" s="4" t="n">
        <v>5052</v>
      </c>
      <c r="H3" s="4" t="n">
        <v>5052</v>
      </c>
      <c r="I3" s="4" t="n">
        <v>10104</v>
      </c>
      <c r="J3" s="4" t="n">
        <v>5052</v>
      </c>
      <c r="K3" s="4" t="n">
        <v>5052</v>
      </c>
      <c r="L3" s="4" t="n">
        <v>5052</v>
      </c>
      <c r="M3" s="4" t="n">
        <v>5052</v>
      </c>
      <c r="N3" s="4" t="n">
        <v>5052</v>
      </c>
      <c r="O3" s="4" t="n">
        <v>10104</v>
      </c>
      <c r="P3" s="4" t="n">
        <v>5178</v>
      </c>
      <c r="Q3" s="4" t="n">
        <v>5178</v>
      </c>
      <c r="R3" s="4" t="n">
        <v>5178</v>
      </c>
      <c r="S3" s="4" t="n">
        <v>5178</v>
      </c>
      <c r="T3" s="4" t="n">
        <v>5178</v>
      </c>
      <c r="U3" s="4" t="n">
        <v>10356</v>
      </c>
      <c r="V3" s="4" t="n">
        <v>5178</v>
      </c>
      <c r="W3" s="4" t="n">
        <v>5178</v>
      </c>
      <c r="X3" s="4" t="n">
        <v>5178</v>
      </c>
      <c r="Y3" s="4" t="n">
        <v>5178</v>
      </c>
      <c r="Z3" s="4" t="n">
        <v>5178</v>
      </c>
      <c r="AA3" s="4" t="n">
        <v>10356</v>
      </c>
      <c r="AB3" s="4" t="n">
        <v>5308</v>
      </c>
      <c r="AC3" s="4" t="n">
        <v>5308</v>
      </c>
      <c r="AD3" s="4" t="n">
        <v>5308</v>
      </c>
      <c r="AE3" s="4" t="n">
        <v>5308</v>
      </c>
      <c r="AF3" s="4" t="n">
        <v>5308</v>
      </c>
      <c r="AG3" s="4" t="n">
        <v>10615</v>
      </c>
      <c r="AH3" s="4" t="n">
        <v>5308</v>
      </c>
      <c r="AI3" s="4" t="n">
        <v>5308</v>
      </c>
      <c r="AJ3" s="4" t="n">
        <v>5308</v>
      </c>
      <c r="AK3" s="4" t="n">
        <v>5308</v>
      </c>
      <c r="AL3" s="4" t="n">
        <v>5308</v>
      </c>
      <c r="AM3" s="4" t="n">
        <v>10615</v>
      </c>
    </row>
    <row r="4">
      <c r="A4" s="2" t="inlineStr">
        <is>
          <t>M003</t>
        </is>
      </c>
      <c r="B4" s="2" t="inlineStr">
        <is>
          <t>Sviluppatore senior</t>
        </is>
      </c>
      <c r="C4" s="2" t="inlineStr">
        <is>
          <t>Sviluppo e dati</t>
        </is>
      </c>
      <c r="D4" s="4" t="n">
        <v>4173</v>
      </c>
      <c r="E4" s="4" t="n">
        <v>4173</v>
      </c>
      <c r="F4" s="4" t="n">
        <v>4173</v>
      </c>
      <c r="G4" s="4" t="n">
        <v>4173</v>
      </c>
      <c r="H4" s="4" t="n">
        <v>4173</v>
      </c>
      <c r="I4" s="4" t="n">
        <v>8346</v>
      </c>
      <c r="J4" s="4" t="n">
        <v>4173</v>
      </c>
      <c r="K4" s="4" t="n">
        <v>4173</v>
      </c>
      <c r="L4" s="4" t="n">
        <v>4173</v>
      </c>
      <c r="M4" s="4" t="n">
        <v>4173</v>
      </c>
      <c r="N4" s="4" t="n">
        <v>4173</v>
      </c>
      <c r="O4" s="4" t="n">
        <v>8346</v>
      </c>
      <c r="P4" s="4" t="n">
        <v>4278</v>
      </c>
      <c r="Q4" s="4" t="n">
        <v>4278</v>
      </c>
      <c r="R4" s="4" t="n">
        <v>4278</v>
      </c>
      <c r="S4" s="4" t="n">
        <v>4278</v>
      </c>
      <c r="T4" s="4" t="n">
        <v>4278</v>
      </c>
      <c r="U4" s="4" t="n">
        <v>8555</v>
      </c>
      <c r="V4" s="4" t="n">
        <v>4278</v>
      </c>
      <c r="W4" s="4" t="n">
        <v>4278</v>
      </c>
      <c r="X4" s="4" t="n">
        <v>4278</v>
      </c>
      <c r="Y4" s="4" t="n">
        <v>4278</v>
      </c>
      <c r="Z4" s="4" t="n">
        <v>4278</v>
      </c>
      <c r="AA4" s="4" t="n">
        <v>8555</v>
      </c>
      <c r="AB4" s="4" t="n">
        <v>4384</v>
      </c>
      <c r="AC4" s="4" t="n">
        <v>4384</v>
      </c>
      <c r="AD4" s="4" t="n">
        <v>4384</v>
      </c>
      <c r="AE4" s="4" t="n">
        <v>4384</v>
      </c>
      <c r="AF4" s="4" t="n">
        <v>4384</v>
      </c>
      <c r="AG4" s="4" t="n">
        <v>8769</v>
      </c>
      <c r="AH4" s="4" t="n">
        <v>4384</v>
      </c>
      <c r="AI4" s="4" t="n">
        <v>4384</v>
      </c>
      <c r="AJ4" s="4" t="n">
        <v>4384</v>
      </c>
      <c r="AK4" s="4" t="n">
        <v>4384</v>
      </c>
      <c r="AL4" s="4" t="n">
        <v>4384</v>
      </c>
      <c r="AM4" s="4" t="n">
        <v>8769</v>
      </c>
    </row>
    <row r="5">
      <c r="A5" s="2" t="inlineStr">
        <is>
          <t>M004</t>
        </is>
      </c>
      <c r="B5" s="2" t="inlineStr">
        <is>
          <t>Sviluppatore senior</t>
        </is>
      </c>
      <c r="C5" s="2" t="inlineStr">
        <is>
          <t>Sviluppo e dati</t>
        </is>
      </c>
      <c r="D5" s="4" t="n">
        <v>4137</v>
      </c>
      <c r="E5" s="4" t="n">
        <v>4137</v>
      </c>
      <c r="F5" s="4" t="n">
        <v>4137</v>
      </c>
      <c r="G5" s="4" t="n">
        <v>4137</v>
      </c>
      <c r="H5" s="4" t="n">
        <v>4137</v>
      </c>
      <c r="I5" s="4" t="n">
        <v>8273</v>
      </c>
      <c r="J5" s="4" t="n">
        <v>4137</v>
      </c>
      <c r="K5" s="4" t="n">
        <v>4137</v>
      </c>
      <c r="L5" s="4" t="n">
        <v>4137</v>
      </c>
      <c r="M5" s="4" t="n">
        <v>4137</v>
      </c>
      <c r="N5" s="4" t="n">
        <v>4137</v>
      </c>
      <c r="O5" s="4" t="n">
        <v>8273</v>
      </c>
      <c r="P5" s="4" t="n">
        <v>4240</v>
      </c>
      <c r="Q5" s="4" t="n">
        <v>4240</v>
      </c>
      <c r="R5" s="4" t="n">
        <v>4240</v>
      </c>
      <c r="S5" s="4" t="n">
        <v>4240</v>
      </c>
      <c r="T5" s="4" t="n">
        <v>4240</v>
      </c>
      <c r="U5" s="4" t="n">
        <v>8480</v>
      </c>
      <c r="V5" s="4" t="n">
        <v>4240</v>
      </c>
      <c r="W5" s="4" t="n">
        <v>4240</v>
      </c>
      <c r="X5" s="4" t="n">
        <v>4240</v>
      </c>
      <c r="Y5" s="4" t="n">
        <v>4240</v>
      </c>
      <c r="Z5" s="4" t="n">
        <v>4240</v>
      </c>
      <c r="AA5" s="4" t="n">
        <v>8480</v>
      </c>
      <c r="AB5" s="4" t="n">
        <v>4346</v>
      </c>
      <c r="AC5" s="4" t="n">
        <v>4346</v>
      </c>
      <c r="AD5" s="4" t="n">
        <v>4346</v>
      </c>
      <c r="AE5" s="4" t="n">
        <v>4346</v>
      </c>
      <c r="AF5" s="4" t="n">
        <v>4346</v>
      </c>
      <c r="AG5" s="4" t="n">
        <v>8692</v>
      </c>
      <c r="AH5" s="4" t="n">
        <v>4346</v>
      </c>
      <c r="AI5" s="4" t="n">
        <v>4346</v>
      </c>
      <c r="AJ5" s="4" t="n">
        <v>4346</v>
      </c>
      <c r="AK5" s="4" t="n">
        <v>4346</v>
      </c>
      <c r="AL5" s="4" t="n">
        <v>4346</v>
      </c>
      <c r="AM5" s="4" t="n">
        <v>8692</v>
      </c>
    </row>
    <row r="6">
      <c r="A6" s="2" t="inlineStr">
        <is>
          <t>M005</t>
        </is>
      </c>
      <c r="B6" s="2" t="inlineStr">
        <is>
          <t>Sviluppatore</t>
        </is>
      </c>
      <c r="C6" s="2" t="inlineStr">
        <is>
          <t>Sviluppo e dati</t>
        </is>
      </c>
      <c r="D6" s="4" t="n">
        <v>3624</v>
      </c>
      <c r="E6" s="4" t="n">
        <v>3624</v>
      </c>
      <c r="F6" s="4" t="n">
        <v>3624</v>
      </c>
      <c r="G6" s="4" t="n">
        <v>3624</v>
      </c>
      <c r="H6" s="4" t="n">
        <v>3624</v>
      </c>
      <c r="I6" s="4" t="n">
        <v>7248</v>
      </c>
      <c r="J6" s="4" t="n">
        <v>3624</v>
      </c>
      <c r="K6" s="4" t="n">
        <v>3624</v>
      </c>
      <c r="L6" s="4" t="n">
        <v>3624</v>
      </c>
      <c r="M6" s="4" t="n">
        <v>3624</v>
      </c>
      <c r="N6" s="4" t="n">
        <v>3624</v>
      </c>
      <c r="O6" s="4" t="n">
        <v>7248</v>
      </c>
      <c r="P6" s="4" t="n">
        <v>3715</v>
      </c>
      <c r="Q6" s="4" t="n">
        <v>3715</v>
      </c>
      <c r="R6" s="4" t="n">
        <v>3715</v>
      </c>
      <c r="S6" s="4" t="n">
        <v>3715</v>
      </c>
      <c r="T6" s="4" t="n">
        <v>3715</v>
      </c>
      <c r="U6" s="4" t="n">
        <v>7429</v>
      </c>
      <c r="V6" s="4" t="n">
        <v>3715</v>
      </c>
      <c r="W6" s="4" t="n">
        <v>3715</v>
      </c>
      <c r="X6" s="4" t="n">
        <v>3715</v>
      </c>
      <c r="Y6" s="4" t="n">
        <v>3715</v>
      </c>
      <c r="Z6" s="4" t="n">
        <v>3715</v>
      </c>
      <c r="AA6" s="4" t="n">
        <v>7429</v>
      </c>
      <c r="AB6" s="4" t="n">
        <v>3808</v>
      </c>
      <c r="AC6" s="4" t="n">
        <v>3808</v>
      </c>
      <c r="AD6" s="4" t="n">
        <v>3808</v>
      </c>
      <c r="AE6" s="4" t="n">
        <v>3808</v>
      </c>
      <c r="AF6" s="4" t="n">
        <v>3808</v>
      </c>
      <c r="AG6" s="4" t="n">
        <v>7615</v>
      </c>
      <c r="AH6" s="4" t="n">
        <v>3808</v>
      </c>
      <c r="AI6" s="4" t="n">
        <v>3808</v>
      </c>
      <c r="AJ6" s="4" t="n">
        <v>3808</v>
      </c>
      <c r="AK6" s="4" t="n">
        <v>3808</v>
      </c>
      <c r="AL6" s="4" t="n">
        <v>3808</v>
      </c>
      <c r="AM6" s="4" t="n">
        <v>7615</v>
      </c>
    </row>
    <row r="7">
      <c r="A7" s="2" t="inlineStr">
        <is>
          <t>M006</t>
        </is>
      </c>
      <c r="B7" s="2" t="inlineStr">
        <is>
          <t>Data analyst</t>
        </is>
      </c>
      <c r="C7" s="2" t="inlineStr">
        <is>
          <t>Sviluppo e dati</t>
        </is>
      </c>
      <c r="D7" s="4" t="n">
        <v>3573</v>
      </c>
      <c r="E7" s="4" t="n">
        <v>3573</v>
      </c>
      <c r="F7" s="4" t="n">
        <v>3573</v>
      </c>
      <c r="G7" s="4" t="n">
        <v>3573</v>
      </c>
      <c r="H7" s="4" t="n">
        <v>3573</v>
      </c>
      <c r="I7" s="4" t="n">
        <v>7146</v>
      </c>
      <c r="J7" s="4" t="n">
        <v>3573</v>
      </c>
      <c r="K7" s="4" t="n">
        <v>3573</v>
      </c>
      <c r="L7" s="4" t="n">
        <v>3573</v>
      </c>
      <c r="M7" s="4" t="n">
        <v>3573</v>
      </c>
      <c r="N7" s="4" t="n">
        <v>3573</v>
      </c>
      <c r="O7" s="4" t="n">
        <v>7146</v>
      </c>
      <c r="P7" s="4" t="n">
        <v>3662</v>
      </c>
      <c r="Q7" s="4" t="n">
        <v>3662</v>
      </c>
      <c r="R7" s="4" t="n">
        <v>3662</v>
      </c>
      <c r="S7" s="4" t="n">
        <v>3662</v>
      </c>
      <c r="T7" s="4" t="n">
        <v>3662</v>
      </c>
      <c r="U7" s="4" t="n">
        <v>7324</v>
      </c>
      <c r="V7" s="4" t="n">
        <v>3662</v>
      </c>
      <c r="W7" s="4" t="n">
        <v>3662</v>
      </c>
      <c r="X7" s="4" t="n">
        <v>3662</v>
      </c>
      <c r="Y7" s="4" t="n">
        <v>3662</v>
      </c>
      <c r="Z7" s="4" t="n">
        <v>3662</v>
      </c>
      <c r="AA7" s="4" t="n">
        <v>7324</v>
      </c>
      <c r="AB7" s="4" t="n">
        <v>3754</v>
      </c>
      <c r="AC7" s="4" t="n">
        <v>3754</v>
      </c>
      <c r="AD7" s="4" t="n">
        <v>3754</v>
      </c>
      <c r="AE7" s="4" t="n">
        <v>3754</v>
      </c>
      <c r="AF7" s="4" t="n">
        <v>3754</v>
      </c>
      <c r="AG7" s="4" t="n">
        <v>7507</v>
      </c>
      <c r="AH7" s="4" t="n">
        <v>3754</v>
      </c>
      <c r="AI7" s="4" t="n">
        <v>3754</v>
      </c>
      <c r="AJ7" s="4" t="n">
        <v>3754</v>
      </c>
      <c r="AK7" s="4" t="n">
        <v>3754</v>
      </c>
      <c r="AL7" s="4" t="n">
        <v>3754</v>
      </c>
      <c r="AM7" s="4" t="n">
        <v>7507</v>
      </c>
    </row>
    <row r="8">
      <c r="A8" s="2" t="inlineStr">
        <is>
          <t>M007</t>
        </is>
      </c>
      <c r="B8" s="2" t="inlineStr">
        <is>
          <t>Sviluppatore</t>
        </is>
      </c>
      <c r="C8" s="2" t="inlineStr">
        <is>
          <t>Sviluppo e dati</t>
        </is>
      </c>
      <c r="D8" s="4" t="n">
        <v>3514</v>
      </c>
      <c r="E8" s="4" t="n">
        <v>3514</v>
      </c>
      <c r="F8" s="4" t="n">
        <v>3514</v>
      </c>
      <c r="G8" s="4" t="n">
        <v>3514</v>
      </c>
      <c r="H8" s="4" t="n">
        <v>3514</v>
      </c>
      <c r="I8" s="4" t="n">
        <v>7029</v>
      </c>
      <c r="J8" s="4" t="n">
        <v>3514</v>
      </c>
      <c r="K8" s="4" t="n">
        <v>3514</v>
      </c>
      <c r="L8" s="4" t="n">
        <v>3514</v>
      </c>
      <c r="M8" s="4" t="n">
        <v>3514</v>
      </c>
      <c r="N8" s="4" t="n">
        <v>3514</v>
      </c>
      <c r="O8" s="4" t="n">
        <v>7029</v>
      </c>
      <c r="P8" s="4" t="n">
        <v>3602</v>
      </c>
      <c r="Q8" s="4" t="n">
        <v>3602</v>
      </c>
      <c r="R8" s="4" t="n">
        <v>3602</v>
      </c>
      <c r="S8" s="4" t="n">
        <v>3602</v>
      </c>
      <c r="T8" s="4" t="n">
        <v>3602</v>
      </c>
      <c r="U8" s="4" t="n">
        <v>7204</v>
      </c>
      <c r="V8" s="4" t="n">
        <v>3602</v>
      </c>
      <c r="W8" s="4" t="n">
        <v>3602</v>
      </c>
      <c r="X8" s="4" t="n">
        <v>3602</v>
      </c>
      <c r="Y8" s="4" t="n">
        <v>3602</v>
      </c>
      <c r="Z8" s="4" t="n">
        <v>3602</v>
      </c>
      <c r="AA8" s="4" t="n">
        <v>7204</v>
      </c>
      <c r="AB8" s="4" t="n">
        <v>3692</v>
      </c>
      <c r="AC8" s="4" t="n">
        <v>3692</v>
      </c>
      <c r="AD8" s="4" t="n">
        <v>3692</v>
      </c>
      <c r="AE8" s="4" t="n">
        <v>3692</v>
      </c>
      <c r="AF8" s="4" t="n">
        <v>3692</v>
      </c>
      <c r="AG8" s="4" t="n">
        <v>7384</v>
      </c>
      <c r="AH8" s="4" t="n">
        <v>3692</v>
      </c>
      <c r="AI8" s="4" t="n">
        <v>3692</v>
      </c>
      <c r="AJ8" s="4" t="n">
        <v>3692</v>
      </c>
      <c r="AK8" s="4" t="n">
        <v>3692</v>
      </c>
      <c r="AL8" s="4" t="n">
        <v>3692</v>
      </c>
      <c r="AM8" s="4" t="n">
        <v>7384</v>
      </c>
    </row>
    <row r="9">
      <c r="A9" s="2" t="inlineStr">
        <is>
          <t>M008</t>
        </is>
      </c>
      <c r="B9" s="2" t="inlineStr">
        <is>
          <t>Project manager</t>
        </is>
      </c>
      <c r="C9" s="2" t="inlineStr">
        <is>
          <t>Progetto e design</t>
        </is>
      </c>
      <c r="D9" s="4" t="n">
        <v>4466</v>
      </c>
      <c r="E9" s="4" t="n">
        <v>4466</v>
      </c>
      <c r="F9" s="4" t="n">
        <v>4466</v>
      </c>
      <c r="G9" s="4" t="n">
        <v>4466</v>
      </c>
      <c r="H9" s="4" t="n">
        <v>4466</v>
      </c>
      <c r="I9" s="4" t="n">
        <v>8932</v>
      </c>
      <c r="J9" s="4" t="n">
        <v>4466</v>
      </c>
      <c r="K9" s="4" t="n">
        <v>4466</v>
      </c>
      <c r="L9" s="4" t="n">
        <v>4466</v>
      </c>
      <c r="M9" s="4" t="n">
        <v>4466</v>
      </c>
      <c r="N9" s="4" t="n">
        <v>4466</v>
      </c>
      <c r="O9" s="4" t="n">
        <v>8932</v>
      </c>
      <c r="P9" s="4" t="n">
        <v>4578</v>
      </c>
      <c r="Q9" s="4" t="n">
        <v>4578</v>
      </c>
      <c r="R9" s="4" t="n">
        <v>4578</v>
      </c>
      <c r="S9" s="4" t="n">
        <v>4578</v>
      </c>
      <c r="T9" s="4" t="n">
        <v>4578</v>
      </c>
      <c r="U9" s="4" t="n">
        <v>9155</v>
      </c>
      <c r="V9" s="4" t="n">
        <v>4578</v>
      </c>
      <c r="W9" s="4" t="n">
        <v>4578</v>
      </c>
      <c r="X9" s="4" t="n">
        <v>4578</v>
      </c>
      <c r="Y9" s="4" t="n">
        <v>4578</v>
      </c>
      <c r="Z9" s="4" t="n">
        <v>4578</v>
      </c>
      <c r="AA9" s="4" t="n">
        <v>9155</v>
      </c>
      <c r="AB9" s="4" t="n">
        <v>4692</v>
      </c>
      <c r="AC9" s="4" t="n">
        <v>4692</v>
      </c>
      <c r="AD9" s="4" t="n">
        <v>4692</v>
      </c>
      <c r="AE9" s="4" t="n">
        <v>4692</v>
      </c>
      <c r="AF9" s="4" t="n">
        <v>4692</v>
      </c>
      <c r="AG9" s="4" t="n">
        <v>9384</v>
      </c>
      <c r="AH9" s="4" t="n">
        <v>4692</v>
      </c>
      <c r="AI9" s="4" t="n">
        <v>4692</v>
      </c>
      <c r="AJ9" s="4" t="n">
        <v>4692</v>
      </c>
      <c r="AK9" s="4" t="n">
        <v>4692</v>
      </c>
      <c r="AL9" s="4" t="n">
        <v>4692</v>
      </c>
      <c r="AM9" s="4" t="n">
        <v>9384</v>
      </c>
    </row>
    <row r="10">
      <c r="A10" s="2" t="inlineStr">
        <is>
          <t>M009</t>
        </is>
      </c>
      <c r="B10" s="2" t="inlineStr">
        <is>
          <t>Sviluppatore</t>
        </is>
      </c>
      <c r="C10" s="2" t="inlineStr">
        <is>
          <t>Sviluppo e dati</t>
        </is>
      </c>
      <c r="D10" s="4" t="n">
        <v>3478</v>
      </c>
      <c r="E10" s="4" t="n">
        <v>3478</v>
      </c>
      <c r="F10" s="4" t="n">
        <v>3478</v>
      </c>
      <c r="G10" s="4" t="n">
        <v>3478</v>
      </c>
      <c r="H10" s="4" t="n">
        <v>3478</v>
      </c>
      <c r="I10" s="4" t="n">
        <v>6955</v>
      </c>
      <c r="J10" s="4" t="n">
        <v>3478</v>
      </c>
      <c r="K10" s="4" t="n">
        <v>3478</v>
      </c>
      <c r="L10" s="4" t="n">
        <v>3478</v>
      </c>
      <c r="M10" s="4" t="n">
        <v>3478</v>
      </c>
      <c r="N10" s="4" t="n">
        <v>3478</v>
      </c>
      <c r="O10" s="4" t="n">
        <v>6955</v>
      </c>
      <c r="P10" s="4" t="n">
        <v>3565</v>
      </c>
      <c r="Q10" s="4" t="n">
        <v>3565</v>
      </c>
      <c r="R10" s="4" t="n">
        <v>3565</v>
      </c>
      <c r="S10" s="4" t="n">
        <v>3565</v>
      </c>
      <c r="T10" s="4" t="n">
        <v>3565</v>
      </c>
      <c r="U10" s="4" t="n">
        <v>7129</v>
      </c>
      <c r="V10" s="4" t="n">
        <v>3565</v>
      </c>
      <c r="W10" s="4" t="n">
        <v>3565</v>
      </c>
      <c r="X10" s="4" t="n">
        <v>3565</v>
      </c>
      <c r="Y10" s="4" t="n">
        <v>3565</v>
      </c>
      <c r="Z10" s="4" t="n">
        <v>3565</v>
      </c>
      <c r="AA10" s="4" t="n">
        <v>7129</v>
      </c>
      <c r="AB10" s="4" t="n">
        <v>3654</v>
      </c>
      <c r="AC10" s="4" t="n">
        <v>3654</v>
      </c>
      <c r="AD10" s="4" t="n">
        <v>3654</v>
      </c>
      <c r="AE10" s="4" t="n">
        <v>3654</v>
      </c>
      <c r="AF10" s="4" t="n">
        <v>3654</v>
      </c>
      <c r="AG10" s="4" t="n">
        <v>7307</v>
      </c>
      <c r="AH10" s="4" t="n">
        <v>3654</v>
      </c>
      <c r="AI10" s="4" t="n">
        <v>3654</v>
      </c>
      <c r="AJ10" s="4" t="n">
        <v>3654</v>
      </c>
      <c r="AK10" s="4" t="n">
        <v>3654</v>
      </c>
      <c r="AL10" s="4" t="n">
        <v>3654</v>
      </c>
      <c r="AM10" s="4" t="n">
        <v>7307</v>
      </c>
    </row>
    <row r="11">
      <c r="A11" s="2" t="inlineStr">
        <is>
          <t>M010</t>
        </is>
      </c>
      <c r="B11" s="2" t="inlineStr">
        <is>
          <t>Sviluppatore</t>
        </is>
      </c>
      <c r="C11" s="2" t="inlineStr">
        <is>
          <t>Sviluppo e dati</t>
        </is>
      </c>
      <c r="D11" s="4" t="n">
        <v>3441</v>
      </c>
      <c r="E11" s="4" t="n">
        <v>3441</v>
      </c>
      <c r="F11" s="4" t="n">
        <v>3441</v>
      </c>
      <c r="G11" s="4" t="n">
        <v>3441</v>
      </c>
      <c r="H11" s="4" t="n">
        <v>3441</v>
      </c>
      <c r="I11" s="4" t="n">
        <v>6882</v>
      </c>
      <c r="J11" s="4" t="n">
        <v>3441</v>
      </c>
      <c r="K11" s="4" t="n">
        <v>3441</v>
      </c>
      <c r="L11" s="4" t="n">
        <v>3441</v>
      </c>
      <c r="M11" s="4" t="n">
        <v>3441</v>
      </c>
      <c r="N11" s="4" t="n">
        <v>3441</v>
      </c>
      <c r="O11" s="4" t="n">
        <v>6882</v>
      </c>
      <c r="P11" s="4" t="n">
        <v>3527</v>
      </c>
      <c r="Q11" s="4" t="n">
        <v>3527</v>
      </c>
      <c r="R11" s="4" t="n">
        <v>3527</v>
      </c>
      <c r="S11" s="4" t="n">
        <v>3527</v>
      </c>
      <c r="T11" s="4" t="n">
        <v>3527</v>
      </c>
      <c r="U11" s="4" t="n">
        <v>7054</v>
      </c>
      <c r="V11" s="4" t="n">
        <v>3527</v>
      </c>
      <c r="W11" s="4" t="n">
        <v>3527</v>
      </c>
      <c r="X11" s="4" t="n">
        <v>3527</v>
      </c>
      <c r="Y11" s="4" t="n">
        <v>3527</v>
      </c>
      <c r="Z11" s="4" t="n">
        <v>3527</v>
      </c>
      <c r="AA11" s="4" t="n">
        <v>7054</v>
      </c>
      <c r="AB11" s="4" t="n">
        <v>3615</v>
      </c>
      <c r="AC11" s="4" t="n">
        <v>3615</v>
      </c>
      <c r="AD11" s="4" t="n">
        <v>3615</v>
      </c>
      <c r="AE11" s="4" t="n">
        <v>3615</v>
      </c>
      <c r="AF11" s="4" t="n">
        <v>3615</v>
      </c>
      <c r="AG11" s="4" t="n">
        <v>7231</v>
      </c>
      <c r="AH11" s="4" t="n">
        <v>3615</v>
      </c>
      <c r="AI11" s="4" t="n">
        <v>3615</v>
      </c>
      <c r="AJ11" s="4" t="n">
        <v>3615</v>
      </c>
      <c r="AK11" s="4" t="n">
        <v>3615</v>
      </c>
      <c r="AL11" s="4" t="n">
        <v>3615</v>
      </c>
      <c r="AM11" s="4" t="n">
        <v>7231</v>
      </c>
    </row>
    <row r="12">
      <c r="A12" s="2" t="inlineStr">
        <is>
          <t>M011</t>
        </is>
      </c>
      <c r="B12" s="2" t="inlineStr">
        <is>
          <t>Amministrazione e personale</t>
        </is>
      </c>
      <c r="C12" s="2" t="inlineStr">
        <is>
          <t>Amministrazione</t>
        </is>
      </c>
      <c r="D12" s="4" t="n">
        <v>2453</v>
      </c>
      <c r="E12" s="4" t="n">
        <v>2453</v>
      </c>
      <c r="F12" s="4" t="n">
        <v>2453</v>
      </c>
      <c r="G12" s="4" t="n">
        <v>2453</v>
      </c>
      <c r="H12" s="4" t="n">
        <v>2453</v>
      </c>
      <c r="I12" s="4" t="n">
        <v>4905</v>
      </c>
      <c r="J12" s="4" t="n">
        <v>2453</v>
      </c>
      <c r="K12" s="4" t="n">
        <v>2453</v>
      </c>
      <c r="L12" s="4" t="n">
        <v>2453</v>
      </c>
      <c r="M12" s="4" t="n">
        <v>2453</v>
      </c>
      <c r="N12" s="4" t="n">
        <v>2453</v>
      </c>
      <c r="O12" s="4" t="n">
        <v>4905</v>
      </c>
      <c r="P12" s="4" t="n">
        <v>2514</v>
      </c>
      <c r="Q12" s="4" t="n">
        <v>2514</v>
      </c>
      <c r="R12" s="4" t="n">
        <v>2514</v>
      </c>
      <c r="S12" s="4" t="n">
        <v>2514</v>
      </c>
      <c r="T12" s="4" t="n">
        <v>2514</v>
      </c>
      <c r="U12" s="4" t="n">
        <v>5028</v>
      </c>
      <c r="V12" s="4" t="n">
        <v>2514</v>
      </c>
      <c r="W12" s="4" t="n">
        <v>2514</v>
      </c>
      <c r="X12" s="4" t="n">
        <v>2514</v>
      </c>
      <c r="Y12" s="4" t="n">
        <v>2514</v>
      </c>
      <c r="Z12" s="4" t="n">
        <v>2514</v>
      </c>
      <c r="AA12" s="4" t="n">
        <v>5028</v>
      </c>
      <c r="AB12" s="4" t="n">
        <v>2577</v>
      </c>
      <c r="AC12" s="4" t="n">
        <v>2577</v>
      </c>
      <c r="AD12" s="4" t="n">
        <v>2577</v>
      </c>
      <c r="AE12" s="4" t="n">
        <v>2577</v>
      </c>
      <c r="AF12" s="4" t="n">
        <v>2577</v>
      </c>
      <c r="AG12" s="4" t="n">
        <v>5154</v>
      </c>
      <c r="AH12" s="4" t="n">
        <v>2577</v>
      </c>
      <c r="AI12" s="4" t="n">
        <v>2577</v>
      </c>
      <c r="AJ12" s="4" t="n">
        <v>2577</v>
      </c>
      <c r="AK12" s="4" t="n">
        <v>2577</v>
      </c>
      <c r="AL12" s="4" t="n">
        <v>2577</v>
      </c>
      <c r="AM12" s="4" t="n">
        <v>5154</v>
      </c>
    </row>
    <row r="13">
      <c r="A13" s="2" t="inlineStr">
        <is>
          <t>M012</t>
        </is>
      </c>
      <c r="B13" s="2" t="inlineStr">
        <is>
          <t>UX designer</t>
        </is>
      </c>
      <c r="C13" s="2" t="inlineStr">
        <is>
          <t>Progetto e design</t>
        </is>
      </c>
      <c r="D13" s="4" t="n">
        <v>3404</v>
      </c>
      <c r="E13" s="4" t="n">
        <v>3404</v>
      </c>
      <c r="F13" s="4" t="n">
        <v>3404</v>
      </c>
      <c r="G13" s="4" t="n">
        <v>3404</v>
      </c>
      <c r="H13" s="4" t="n">
        <v>3404</v>
      </c>
      <c r="I13" s="4" t="n">
        <v>6809</v>
      </c>
      <c r="J13" s="4" t="n">
        <v>3404</v>
      </c>
      <c r="K13" s="4" t="n">
        <v>3404</v>
      </c>
      <c r="L13" s="4" t="n">
        <v>3404</v>
      </c>
      <c r="M13" s="4" t="n">
        <v>3404</v>
      </c>
      <c r="N13" s="4" t="n">
        <v>3404</v>
      </c>
      <c r="O13" s="4" t="n">
        <v>6809</v>
      </c>
      <c r="P13" s="4" t="n">
        <v>3490</v>
      </c>
      <c r="Q13" s="4" t="n">
        <v>3490</v>
      </c>
      <c r="R13" s="4" t="n">
        <v>3490</v>
      </c>
      <c r="S13" s="4" t="n">
        <v>3490</v>
      </c>
      <c r="T13" s="4" t="n">
        <v>3490</v>
      </c>
      <c r="U13" s="4" t="n">
        <v>6979</v>
      </c>
      <c r="V13" s="4" t="n">
        <v>3490</v>
      </c>
      <c r="W13" s="4" t="n">
        <v>3490</v>
      </c>
      <c r="X13" s="4" t="n">
        <v>3490</v>
      </c>
      <c r="Y13" s="4" t="n">
        <v>3490</v>
      </c>
      <c r="Z13" s="4" t="n">
        <v>3490</v>
      </c>
      <c r="AA13" s="4" t="n">
        <v>6979</v>
      </c>
      <c r="AB13" s="4" t="n">
        <v>3577</v>
      </c>
      <c r="AC13" s="4" t="n">
        <v>3577</v>
      </c>
      <c r="AD13" s="4" t="n">
        <v>3577</v>
      </c>
      <c r="AE13" s="4" t="n">
        <v>3577</v>
      </c>
      <c r="AF13" s="4" t="n">
        <v>3577</v>
      </c>
      <c r="AG13" s="4" t="n">
        <v>7154</v>
      </c>
      <c r="AH13" s="4" t="n">
        <v>3577</v>
      </c>
      <c r="AI13" s="4" t="n">
        <v>3577</v>
      </c>
      <c r="AJ13" s="4" t="n">
        <v>3577</v>
      </c>
      <c r="AK13" s="4" t="n">
        <v>3577</v>
      </c>
      <c r="AL13" s="4" t="n">
        <v>3577</v>
      </c>
      <c r="AM13" s="4" t="n">
        <v>7154</v>
      </c>
    </row>
    <row r="14">
      <c r="A14" s="2" t="inlineStr">
        <is>
          <t>M013</t>
        </is>
      </c>
      <c r="B14" s="2" t="inlineStr">
        <is>
          <t>Sviluppatore</t>
        </is>
      </c>
      <c r="C14" s="2" t="inlineStr">
        <is>
          <t>Sviluppo e dati</t>
        </is>
      </c>
      <c r="D14" s="4" t="n">
        <v>2694</v>
      </c>
      <c r="E14" s="4" t="n">
        <v>2694</v>
      </c>
      <c r="F14" s="4" t="n">
        <v>2694</v>
      </c>
      <c r="G14" s="4" t="n">
        <v>2694</v>
      </c>
      <c r="H14" s="4" t="n">
        <v>2694</v>
      </c>
      <c r="I14" s="4" t="n">
        <v>5389</v>
      </c>
      <c r="J14" s="4" t="n">
        <v>2694</v>
      </c>
      <c r="K14" s="4" t="n">
        <v>2694</v>
      </c>
      <c r="L14" s="4" t="n">
        <v>2694</v>
      </c>
      <c r="M14" s="4" t="n">
        <v>2694</v>
      </c>
      <c r="N14" s="4" t="n">
        <v>2694</v>
      </c>
      <c r="O14" s="4" t="n">
        <v>5389</v>
      </c>
      <c r="P14" s="4" t="n">
        <v>2762</v>
      </c>
      <c r="Q14" s="4" t="n">
        <v>2762</v>
      </c>
      <c r="R14" s="4" t="n">
        <v>2762</v>
      </c>
      <c r="S14" s="4" t="n">
        <v>2762</v>
      </c>
      <c r="T14" s="4" t="n">
        <v>2762</v>
      </c>
      <c r="U14" s="4" t="n">
        <v>5523</v>
      </c>
      <c r="V14" s="4" t="n">
        <v>2762</v>
      </c>
      <c r="W14" s="4" t="n">
        <v>2762</v>
      </c>
      <c r="X14" s="4" t="n">
        <v>2762</v>
      </c>
      <c r="Y14" s="4" t="n">
        <v>2762</v>
      </c>
      <c r="Z14" s="4" t="n">
        <v>2762</v>
      </c>
      <c r="AA14" s="4" t="n">
        <v>5523</v>
      </c>
      <c r="AB14" s="4" t="n">
        <v>2831</v>
      </c>
      <c r="AC14" s="4" t="n">
        <v>2831</v>
      </c>
      <c r="AD14" s="4" t="n">
        <v>2831</v>
      </c>
      <c r="AE14" s="4" t="n">
        <v>2831</v>
      </c>
      <c r="AF14" s="4" t="n">
        <v>2831</v>
      </c>
      <c r="AG14" s="4" t="n">
        <v>5661</v>
      </c>
      <c r="AH14" s="4" t="n">
        <v>2831</v>
      </c>
      <c r="AI14" s="4" t="n">
        <v>2831</v>
      </c>
      <c r="AJ14" s="4" t="n">
        <v>2831</v>
      </c>
      <c r="AK14" s="4" t="n">
        <v>2831</v>
      </c>
      <c r="AL14" s="4" t="n">
        <v>2831</v>
      </c>
      <c r="AM14" s="4" t="n">
        <v>5661</v>
      </c>
    </row>
    <row r="15">
      <c r="A15" s="2" t="inlineStr">
        <is>
          <t>M014</t>
        </is>
      </c>
      <c r="B15" s="2" t="inlineStr">
        <is>
          <t>Data scientist</t>
        </is>
      </c>
      <c r="C15" s="2" t="inlineStr">
        <is>
          <t>Sviluppo e dati</t>
        </is>
      </c>
      <c r="D15" s="4" t="n">
        <v>4063</v>
      </c>
      <c r="E15" s="4" t="n">
        <v>4063</v>
      </c>
      <c r="F15" s="4" t="n">
        <v>4063</v>
      </c>
      <c r="G15" s="4" t="n">
        <v>4063</v>
      </c>
      <c r="H15" s="4" t="n">
        <v>4063</v>
      </c>
      <c r="I15" s="4" t="n">
        <v>8127</v>
      </c>
      <c r="J15" s="4" t="n">
        <v>4063</v>
      </c>
      <c r="K15" s="4" t="n">
        <v>4063</v>
      </c>
      <c r="L15" s="4" t="n">
        <v>4063</v>
      </c>
      <c r="M15" s="4" t="n">
        <v>4063</v>
      </c>
      <c r="N15" s="4" t="n">
        <v>4063</v>
      </c>
      <c r="O15" s="4" t="n">
        <v>8127</v>
      </c>
      <c r="P15" s="4" t="n">
        <v>4165</v>
      </c>
      <c r="Q15" s="4" t="n">
        <v>4165</v>
      </c>
      <c r="R15" s="4" t="n">
        <v>4165</v>
      </c>
      <c r="S15" s="4" t="n">
        <v>4165</v>
      </c>
      <c r="T15" s="4" t="n">
        <v>4165</v>
      </c>
      <c r="U15" s="4" t="n">
        <v>8330</v>
      </c>
      <c r="V15" s="4" t="n">
        <v>4165</v>
      </c>
      <c r="W15" s="4" t="n">
        <v>4165</v>
      </c>
      <c r="X15" s="4" t="n">
        <v>4165</v>
      </c>
      <c r="Y15" s="4" t="n">
        <v>4165</v>
      </c>
      <c r="Z15" s="4" t="n">
        <v>4165</v>
      </c>
      <c r="AA15" s="4" t="n">
        <v>8330</v>
      </c>
      <c r="AB15" s="4" t="n">
        <v>4269</v>
      </c>
      <c r="AC15" s="4" t="n">
        <v>4269</v>
      </c>
      <c r="AD15" s="4" t="n">
        <v>4269</v>
      </c>
      <c r="AE15" s="4" t="n">
        <v>4269</v>
      </c>
      <c r="AF15" s="4" t="n">
        <v>4269</v>
      </c>
      <c r="AG15" s="4" t="n">
        <v>8538</v>
      </c>
      <c r="AH15" s="4" t="n">
        <v>4269</v>
      </c>
      <c r="AI15" s="4" t="n">
        <v>4269</v>
      </c>
      <c r="AJ15" s="4" t="n">
        <v>4269</v>
      </c>
      <c r="AK15" s="4" t="n">
        <v>4269</v>
      </c>
      <c r="AL15" s="4" t="n">
        <v>4269</v>
      </c>
      <c r="AM15" s="4" t="n">
        <v>8538</v>
      </c>
    </row>
    <row r="16">
      <c r="A16" s="2" t="inlineStr">
        <is>
          <t>M015</t>
        </is>
      </c>
      <c r="B16" s="2" t="inlineStr">
        <is>
          <t>Commerciale</t>
        </is>
      </c>
      <c r="C16" s="2" t="inlineStr">
        <is>
          <t>Commerciale e clienti</t>
        </is>
      </c>
      <c r="D16" s="4" t="n">
        <v>3954</v>
      </c>
      <c r="E16" s="4" t="n">
        <v>3954</v>
      </c>
      <c r="F16" s="4" t="n">
        <v>3954</v>
      </c>
      <c r="G16" s="4" t="n">
        <v>3954</v>
      </c>
      <c r="H16" s="4" t="n">
        <v>3954</v>
      </c>
      <c r="I16" s="4" t="n">
        <v>7907</v>
      </c>
      <c r="J16" s="4" t="n">
        <v>3954</v>
      </c>
      <c r="K16" s="4" t="n">
        <v>3954</v>
      </c>
      <c r="L16" s="4" t="n">
        <v>3954</v>
      </c>
      <c r="M16" s="4" t="n">
        <v>3954</v>
      </c>
      <c r="N16" s="4" t="n">
        <v>3954</v>
      </c>
      <c r="O16" s="4" t="n">
        <v>7907</v>
      </c>
      <c r="P16" s="4" t="n">
        <v>4052</v>
      </c>
      <c r="Q16" s="4" t="n">
        <v>4052</v>
      </c>
      <c r="R16" s="4" t="n">
        <v>4052</v>
      </c>
      <c r="S16" s="4" t="n">
        <v>4052</v>
      </c>
      <c r="T16" s="4" t="n">
        <v>4052</v>
      </c>
      <c r="U16" s="4" t="n">
        <v>8105</v>
      </c>
      <c r="V16" s="4" t="n">
        <v>4052</v>
      </c>
      <c r="W16" s="4" t="n">
        <v>4052</v>
      </c>
      <c r="X16" s="4" t="n">
        <v>4052</v>
      </c>
      <c r="Y16" s="4" t="n">
        <v>4052</v>
      </c>
      <c r="Z16" s="4" t="n">
        <v>4052</v>
      </c>
      <c r="AA16" s="4" t="n">
        <v>8105</v>
      </c>
      <c r="AB16" s="4" t="n">
        <v>4154</v>
      </c>
      <c r="AC16" s="4" t="n">
        <v>4154</v>
      </c>
      <c r="AD16" s="4" t="n">
        <v>4154</v>
      </c>
      <c r="AE16" s="4" t="n">
        <v>4154</v>
      </c>
      <c r="AF16" s="4" t="n">
        <v>4154</v>
      </c>
      <c r="AG16" s="4" t="n">
        <v>8307</v>
      </c>
      <c r="AH16" s="4" t="n">
        <v>4154</v>
      </c>
      <c r="AI16" s="4" t="n">
        <v>4154</v>
      </c>
      <c r="AJ16" s="4" t="n">
        <v>4154</v>
      </c>
      <c r="AK16" s="4" t="n">
        <v>4154</v>
      </c>
      <c r="AL16" s="4" t="n">
        <v>4154</v>
      </c>
      <c r="AM16" s="4" t="n">
        <v>8307</v>
      </c>
    </row>
    <row r="17">
      <c r="A17" s="2" t="inlineStr">
        <is>
          <t>M016</t>
        </is>
      </c>
      <c r="B17" s="2" t="inlineStr">
        <is>
          <t>Sviluppatore</t>
        </is>
      </c>
      <c r="C17" s="2" t="inlineStr">
        <is>
          <t>Sviluppo e dati</t>
        </is>
      </c>
      <c r="D17" s="4" t="n">
        <v>2636</v>
      </c>
      <c r="E17" s="4" t="n">
        <v>2636</v>
      </c>
      <c r="F17" s="4" t="n">
        <v>2636</v>
      </c>
      <c r="G17" s="4" t="n">
        <v>2636</v>
      </c>
      <c r="H17" s="4" t="n">
        <v>2636</v>
      </c>
      <c r="I17" s="4" t="n">
        <v>5271</v>
      </c>
      <c r="J17" s="4" t="n">
        <v>2636</v>
      </c>
      <c r="K17" s="4" t="n">
        <v>2636</v>
      </c>
      <c r="L17" s="4" t="n">
        <v>2636</v>
      </c>
      <c r="M17" s="4" t="n">
        <v>2636</v>
      </c>
      <c r="N17" s="4" t="n">
        <v>2636</v>
      </c>
      <c r="O17" s="4" t="n">
        <v>5271</v>
      </c>
      <c r="P17" s="4" t="n">
        <v>2702</v>
      </c>
      <c r="Q17" s="4" t="n">
        <v>2702</v>
      </c>
      <c r="R17" s="4" t="n">
        <v>2702</v>
      </c>
      <c r="S17" s="4" t="n">
        <v>2702</v>
      </c>
      <c r="T17" s="4" t="n">
        <v>2702</v>
      </c>
      <c r="U17" s="4" t="n">
        <v>5403</v>
      </c>
      <c r="V17" s="4" t="n">
        <v>2702</v>
      </c>
      <c r="W17" s="4" t="n">
        <v>2702</v>
      </c>
      <c r="X17" s="4" t="n">
        <v>2702</v>
      </c>
      <c r="Y17" s="4" t="n">
        <v>2702</v>
      </c>
      <c r="Z17" s="4" t="n">
        <v>2702</v>
      </c>
      <c r="AA17" s="4" t="n">
        <v>5403</v>
      </c>
      <c r="AB17" s="4" t="n">
        <v>2769</v>
      </c>
      <c r="AC17" s="4" t="n">
        <v>2769</v>
      </c>
      <c r="AD17" s="4" t="n">
        <v>2769</v>
      </c>
      <c r="AE17" s="4" t="n">
        <v>2769</v>
      </c>
      <c r="AF17" s="4" t="n">
        <v>2769</v>
      </c>
      <c r="AG17" s="4" t="n">
        <v>5538</v>
      </c>
      <c r="AH17" s="4" t="n">
        <v>2769</v>
      </c>
      <c r="AI17" s="4" t="n">
        <v>2769</v>
      </c>
      <c r="AJ17" s="4" t="n">
        <v>2769</v>
      </c>
      <c r="AK17" s="4" t="n">
        <v>2769</v>
      </c>
      <c r="AL17" s="4" t="n">
        <v>2769</v>
      </c>
      <c r="AM17" s="4" t="n">
        <v>5538</v>
      </c>
    </row>
    <row r="18">
      <c r="A18" s="2" t="inlineStr">
        <is>
          <t>M017</t>
        </is>
      </c>
      <c r="B18" s="2" t="inlineStr">
        <is>
          <t>Sviluppatore</t>
        </is>
      </c>
      <c r="C18" s="2" t="inlineStr">
        <is>
          <t>Sviluppo e dati</t>
        </is>
      </c>
      <c r="D18" s="4" t="n">
        <v>0</v>
      </c>
      <c r="E18" s="4" t="n">
        <v>2599</v>
      </c>
      <c r="F18" s="4" t="n">
        <v>2599</v>
      </c>
      <c r="G18" s="4" t="n">
        <v>2599</v>
      </c>
      <c r="H18" s="4" t="n">
        <v>2599</v>
      </c>
      <c r="I18" s="4" t="n">
        <v>5198</v>
      </c>
      <c r="J18" s="4" t="n">
        <v>2599</v>
      </c>
      <c r="K18" s="4" t="n">
        <v>2599</v>
      </c>
      <c r="L18" s="4" t="n">
        <v>2599</v>
      </c>
      <c r="M18" s="4" t="n">
        <v>2599</v>
      </c>
      <c r="N18" s="4" t="n">
        <v>2599</v>
      </c>
      <c r="O18" s="4" t="n">
        <v>5198</v>
      </c>
      <c r="P18" s="4" t="n">
        <v>2664</v>
      </c>
      <c r="Q18" s="4" t="n">
        <v>2664</v>
      </c>
      <c r="R18" s="4" t="n">
        <v>2664</v>
      </c>
      <c r="S18" s="4" t="n">
        <v>2664</v>
      </c>
      <c r="T18" s="4" t="n">
        <v>2664</v>
      </c>
      <c r="U18" s="4" t="n">
        <v>5328</v>
      </c>
      <c r="V18" s="4" t="n">
        <v>2664</v>
      </c>
      <c r="W18" s="4" t="n">
        <v>2664</v>
      </c>
      <c r="X18" s="4" t="n">
        <v>2664</v>
      </c>
      <c r="Y18" s="4" t="n">
        <v>2664</v>
      </c>
      <c r="Z18" s="4" t="n">
        <v>2664</v>
      </c>
      <c r="AA18" s="4" t="n">
        <v>5328</v>
      </c>
      <c r="AB18" s="4" t="n">
        <v>2731</v>
      </c>
      <c r="AC18" s="4" t="n">
        <v>2731</v>
      </c>
      <c r="AD18" s="4" t="n">
        <v>2731</v>
      </c>
      <c r="AE18" s="4" t="n">
        <v>2731</v>
      </c>
      <c r="AF18" s="4" t="n">
        <v>2731</v>
      </c>
      <c r="AG18" s="4" t="n">
        <v>5461</v>
      </c>
      <c r="AH18" s="4" t="n">
        <v>2731</v>
      </c>
      <c r="AI18" s="4" t="n">
        <v>2731</v>
      </c>
      <c r="AJ18" s="4" t="n">
        <v>2731</v>
      </c>
      <c r="AK18" s="4" t="n">
        <v>2731</v>
      </c>
      <c r="AL18" s="4" t="n">
        <v>2731</v>
      </c>
      <c r="AM18" s="4" t="n">
        <v>5461</v>
      </c>
    </row>
    <row r="19">
      <c r="A19" s="2" t="inlineStr">
        <is>
          <t>M018</t>
        </is>
      </c>
      <c r="B19" s="2" t="inlineStr">
        <is>
          <t>Data engineer</t>
        </is>
      </c>
      <c r="C19" s="2" t="inlineStr">
        <is>
          <t>Sviluppo e dati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3441</v>
      </c>
      <c r="M19" s="4" t="n">
        <v>3441</v>
      </c>
      <c r="N19" s="4" t="n">
        <v>3441</v>
      </c>
      <c r="O19" s="4" t="n">
        <v>6882</v>
      </c>
      <c r="P19" s="4" t="n">
        <v>3527</v>
      </c>
      <c r="Q19" s="4" t="n">
        <v>3527</v>
      </c>
      <c r="R19" s="4" t="n">
        <v>3527</v>
      </c>
      <c r="S19" s="4" t="n">
        <v>3527</v>
      </c>
      <c r="T19" s="4" t="n">
        <v>3527</v>
      </c>
      <c r="U19" s="4" t="n">
        <v>7054</v>
      </c>
      <c r="V19" s="4" t="n">
        <v>3527</v>
      </c>
      <c r="W19" s="4" t="n">
        <v>3527</v>
      </c>
      <c r="X19" s="4" t="n">
        <v>3527</v>
      </c>
      <c r="Y19" s="4" t="n">
        <v>3527</v>
      </c>
      <c r="Z19" s="4" t="n">
        <v>3527</v>
      </c>
      <c r="AA19" s="4" t="n">
        <v>7054</v>
      </c>
      <c r="AB19" s="4" t="n">
        <v>3615</v>
      </c>
      <c r="AC19" s="4" t="n">
        <v>3615</v>
      </c>
      <c r="AD19" s="4" t="n">
        <v>3615</v>
      </c>
      <c r="AE19" s="4" t="n">
        <v>3615</v>
      </c>
      <c r="AF19" s="4" t="n">
        <v>3615</v>
      </c>
      <c r="AG19" s="4" t="n">
        <v>7231</v>
      </c>
      <c r="AH19" s="4" t="n">
        <v>3615</v>
      </c>
      <c r="AI19" s="4" t="n">
        <v>3615</v>
      </c>
      <c r="AJ19" s="4" t="n">
        <v>3615</v>
      </c>
      <c r="AK19" s="4" t="n">
        <v>3615</v>
      </c>
      <c r="AL19" s="4" t="n">
        <v>3615</v>
      </c>
      <c r="AM19" s="4" t="n">
        <v>7231</v>
      </c>
    </row>
    <row r="20">
      <c r="A20" s="2" t="inlineStr">
        <is>
          <t>M019</t>
        </is>
      </c>
      <c r="B20" s="2" t="inlineStr">
        <is>
          <t>Commerciale junior</t>
        </is>
      </c>
      <c r="C20" s="2" t="inlineStr">
        <is>
          <t>Commerciale e clienti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2855</v>
      </c>
      <c r="N20" s="4" t="n">
        <v>2855</v>
      </c>
      <c r="O20" s="4" t="n">
        <v>5711</v>
      </c>
      <c r="P20" s="4" t="n">
        <v>2927</v>
      </c>
      <c r="Q20" s="4" t="n">
        <v>2927</v>
      </c>
      <c r="R20" s="4" t="n">
        <v>2927</v>
      </c>
      <c r="S20" s="4" t="n">
        <v>2927</v>
      </c>
      <c r="T20" s="4" t="n">
        <v>2927</v>
      </c>
      <c r="U20" s="4" t="n">
        <v>5853</v>
      </c>
      <c r="V20" s="4" t="n">
        <v>2927</v>
      </c>
      <c r="W20" s="4" t="n">
        <v>2927</v>
      </c>
      <c r="X20" s="4" t="n">
        <v>2927</v>
      </c>
      <c r="Y20" s="4" t="n">
        <v>2927</v>
      </c>
      <c r="Z20" s="4" t="n">
        <v>2927</v>
      </c>
      <c r="AA20" s="4" t="n">
        <v>5853</v>
      </c>
      <c r="AB20" s="4" t="n">
        <v>3000</v>
      </c>
      <c r="AC20" s="4" t="n">
        <v>3000</v>
      </c>
      <c r="AD20" s="4" t="n">
        <v>3000</v>
      </c>
      <c r="AE20" s="4" t="n">
        <v>3000</v>
      </c>
      <c r="AF20" s="4" t="n">
        <v>3000</v>
      </c>
      <c r="AG20" s="4" t="n">
        <v>6000</v>
      </c>
      <c r="AH20" s="4" t="n">
        <v>3000</v>
      </c>
      <c r="AI20" s="4" t="n">
        <v>3000</v>
      </c>
      <c r="AJ20" s="4" t="n">
        <v>3000</v>
      </c>
      <c r="AK20" s="4" t="n">
        <v>3000</v>
      </c>
      <c r="AL20" s="4" t="n">
        <v>3000</v>
      </c>
      <c r="AM20" s="4" t="n">
        <v>6000</v>
      </c>
    </row>
    <row r="21">
      <c r="A21" s="2" t="inlineStr">
        <is>
          <t>M020</t>
        </is>
      </c>
      <c r="B21" s="2" t="inlineStr">
        <is>
          <t>Sviluppatore senior</t>
        </is>
      </c>
      <c r="C21" s="2" t="inlineStr">
        <is>
          <t>Sviluppo e dati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3827</v>
      </c>
      <c r="R21" s="4" t="n">
        <v>3827</v>
      </c>
      <c r="S21" s="4" t="n">
        <v>3827</v>
      </c>
      <c r="T21" s="4" t="n">
        <v>3827</v>
      </c>
      <c r="U21" s="4" t="n">
        <v>7655</v>
      </c>
      <c r="V21" s="4" t="n">
        <v>3827</v>
      </c>
      <c r="W21" s="4" t="n">
        <v>3827</v>
      </c>
      <c r="X21" s="4" t="n">
        <v>3827</v>
      </c>
      <c r="Y21" s="4" t="n">
        <v>3827</v>
      </c>
      <c r="Z21" s="4" t="n">
        <v>3827</v>
      </c>
      <c r="AA21" s="4" t="n">
        <v>7655</v>
      </c>
      <c r="AB21" s="4" t="n">
        <v>3923</v>
      </c>
      <c r="AC21" s="4" t="n">
        <v>3923</v>
      </c>
      <c r="AD21" s="4" t="n">
        <v>3923</v>
      </c>
      <c r="AE21" s="4" t="n">
        <v>3923</v>
      </c>
      <c r="AF21" s="4" t="n">
        <v>3923</v>
      </c>
      <c r="AG21" s="4" t="n">
        <v>7846</v>
      </c>
      <c r="AH21" s="4" t="n">
        <v>3923</v>
      </c>
      <c r="AI21" s="4" t="n">
        <v>3923</v>
      </c>
      <c r="AJ21" s="4" t="n">
        <v>3923</v>
      </c>
      <c r="AK21" s="4" t="n">
        <v>3923</v>
      </c>
      <c r="AL21" s="4" t="n">
        <v>3923</v>
      </c>
      <c r="AM21" s="4" t="n">
        <v>7846</v>
      </c>
    </row>
    <row r="22">
      <c r="A22" s="2" t="inlineStr">
        <is>
          <t>M021</t>
        </is>
      </c>
      <c r="B22" s="2" t="inlineStr">
        <is>
          <t>Tester e quality assurance</t>
        </is>
      </c>
      <c r="C22" s="2" t="inlineStr">
        <is>
          <t>Sviluppo e dati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2627</v>
      </c>
      <c r="U22" s="4" t="n">
        <v>5253</v>
      </c>
      <c r="V22" s="4" t="n">
        <v>2627</v>
      </c>
      <c r="W22" s="4" t="n">
        <v>2627</v>
      </c>
      <c r="X22" s="4" t="n">
        <v>2627</v>
      </c>
      <c r="Y22" s="4" t="n">
        <v>2627</v>
      </c>
      <c r="Z22" s="4" t="n">
        <v>2627</v>
      </c>
      <c r="AA22" s="4" t="n">
        <v>5253</v>
      </c>
      <c r="AB22" s="4" t="n">
        <v>2692</v>
      </c>
      <c r="AC22" s="4" t="n">
        <v>2692</v>
      </c>
      <c r="AD22" s="4" t="n">
        <v>2692</v>
      </c>
      <c r="AE22" s="4" t="n">
        <v>2692</v>
      </c>
      <c r="AF22" s="4" t="n">
        <v>2692</v>
      </c>
      <c r="AG22" s="4" t="n">
        <v>5384</v>
      </c>
      <c r="AH22" s="4" t="n">
        <v>2692</v>
      </c>
      <c r="AI22" s="4" t="n">
        <v>2692</v>
      </c>
      <c r="AJ22" s="4" t="n">
        <v>2692</v>
      </c>
      <c r="AK22" s="4" t="n">
        <v>2692</v>
      </c>
      <c r="AL22" s="4" t="n">
        <v>2692</v>
      </c>
      <c r="AM22" s="4" t="n">
        <v>5384</v>
      </c>
    </row>
    <row r="23">
      <c r="A23" s="2" t="inlineStr">
        <is>
          <t>M022</t>
        </is>
      </c>
      <c r="B23" s="2" t="inlineStr">
        <is>
          <t>Customer success manager</t>
        </is>
      </c>
      <c r="C23" s="2" t="inlineStr">
        <is>
          <t>Commerciale e clienti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2927</v>
      </c>
      <c r="Y23" s="4" t="n">
        <v>2927</v>
      </c>
      <c r="Z23" s="4" t="n">
        <v>2927</v>
      </c>
      <c r="AA23" s="4" t="n">
        <v>5853</v>
      </c>
      <c r="AB23" s="4" t="n">
        <v>3000</v>
      </c>
      <c r="AC23" s="4" t="n">
        <v>3000</v>
      </c>
      <c r="AD23" s="4" t="n">
        <v>3000</v>
      </c>
      <c r="AE23" s="4" t="n">
        <v>3000</v>
      </c>
      <c r="AF23" s="4" t="n">
        <v>3000</v>
      </c>
      <c r="AG23" s="4" t="n">
        <v>6000</v>
      </c>
      <c r="AH23" s="4" t="n">
        <v>3000</v>
      </c>
      <c r="AI23" s="4" t="n">
        <v>3000</v>
      </c>
      <c r="AJ23" s="4" t="n">
        <v>3000</v>
      </c>
      <c r="AK23" s="4" t="n">
        <v>3000</v>
      </c>
      <c r="AL23" s="4" t="n">
        <v>3000</v>
      </c>
      <c r="AM23" s="4" t="n">
        <v>6000</v>
      </c>
    </row>
    <row r="24">
      <c r="A24" s="2" t="inlineStr">
        <is>
          <t>M023</t>
        </is>
      </c>
      <c r="B24" s="2" t="inlineStr">
        <is>
          <t>Sviluppatore</t>
        </is>
      </c>
      <c r="C24" s="2" t="inlineStr">
        <is>
          <t>Sviluppo e dati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3231</v>
      </c>
      <c r="AC24" s="4" t="n">
        <v>3231</v>
      </c>
      <c r="AD24" s="4" t="n">
        <v>3231</v>
      </c>
      <c r="AE24" s="4" t="n">
        <v>3231</v>
      </c>
      <c r="AF24" s="4" t="n">
        <v>3231</v>
      </c>
      <c r="AG24" s="4" t="n">
        <v>6461</v>
      </c>
      <c r="AH24" s="4" t="n">
        <v>3231</v>
      </c>
      <c r="AI24" s="4" t="n">
        <v>3231</v>
      </c>
      <c r="AJ24" s="4" t="n">
        <v>3231</v>
      </c>
      <c r="AK24" s="4" t="n">
        <v>3231</v>
      </c>
      <c r="AL24" s="4" t="n">
        <v>3231</v>
      </c>
      <c r="AM24" s="4" t="n">
        <v>6461</v>
      </c>
    </row>
    <row r="25">
      <c r="A25" s="2" t="inlineStr">
        <is>
          <t>M024</t>
        </is>
      </c>
      <c r="B25" s="2" t="inlineStr">
        <is>
          <t>Data scientist</t>
        </is>
      </c>
      <c r="C25" s="2" t="inlineStr">
        <is>
          <t>Sviluppo e dati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3846</v>
      </c>
      <c r="AF25" s="4" t="n">
        <v>3846</v>
      </c>
      <c r="AG25" s="4" t="n">
        <v>7692</v>
      </c>
      <c r="AH25" s="4" t="n">
        <v>3846</v>
      </c>
      <c r="AI25" s="4" t="n">
        <v>3846</v>
      </c>
      <c r="AJ25" s="4" t="n">
        <v>3846</v>
      </c>
      <c r="AK25" s="4" t="n">
        <v>3846</v>
      </c>
      <c r="AL25" s="4" t="n">
        <v>3846</v>
      </c>
      <c r="AM25" s="4" t="n">
        <v>7692</v>
      </c>
    </row>
    <row r="26">
      <c r="A26" s="2" t="inlineStr">
        <is>
          <t>M025</t>
        </is>
      </c>
      <c r="B26" s="2" t="inlineStr">
        <is>
          <t>Responsabile sicurezza informatica</t>
        </is>
      </c>
      <c r="C26" s="2" t="inlineStr">
        <is>
          <t>Progetto e design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4231</v>
      </c>
      <c r="AK26" s="4" t="n">
        <v>4231</v>
      </c>
      <c r="AL26" s="4" t="n">
        <v>4231</v>
      </c>
      <c r="AM26" s="4" t="n">
        <v>8461</v>
      </c>
    </row>
    <row r="27">
      <c r="A27" s="5" t="inlineStr">
        <is>
          <t>Totale</t>
        </is>
      </c>
      <c r="B27" s="6" t="n"/>
      <c r="C27" s="6" t="n"/>
      <c r="D27" s="7">
        <f>SUM(D2:D26)</f>
        <v/>
      </c>
      <c r="E27" s="7">
        <f>SUM(E2:E26)</f>
        <v/>
      </c>
      <c r="F27" s="7">
        <f>SUM(F2:F26)</f>
        <v/>
      </c>
      <c r="G27" s="7">
        <f>SUM(G2:G26)</f>
        <v/>
      </c>
      <c r="H27" s="7">
        <f>SUM(H2:H26)</f>
        <v/>
      </c>
      <c r="I27" s="7">
        <f>SUM(I2:I26)</f>
        <v/>
      </c>
      <c r="J27" s="7">
        <f>SUM(J2:J26)</f>
        <v/>
      </c>
      <c r="K27" s="7">
        <f>SUM(K2:K26)</f>
        <v/>
      </c>
      <c r="L27" s="7">
        <f>SUM(L2:L26)</f>
        <v/>
      </c>
      <c r="M27" s="7">
        <f>SUM(M2:M26)</f>
        <v/>
      </c>
      <c r="N27" s="7">
        <f>SUM(N2:N26)</f>
        <v/>
      </c>
      <c r="O27" s="7">
        <f>SUM(O2:O26)</f>
        <v/>
      </c>
      <c r="P27" s="7">
        <f>SUM(P2:P26)</f>
        <v/>
      </c>
      <c r="Q27" s="7">
        <f>SUM(Q2:Q26)</f>
        <v/>
      </c>
      <c r="R27" s="7">
        <f>SUM(R2:R26)</f>
        <v/>
      </c>
      <c r="S27" s="7">
        <f>SUM(S2:S26)</f>
        <v/>
      </c>
      <c r="T27" s="7">
        <f>SUM(T2:T26)</f>
        <v/>
      </c>
      <c r="U27" s="7">
        <f>SUM(U2:U26)</f>
        <v/>
      </c>
      <c r="V27" s="7">
        <f>SUM(V2:V26)</f>
        <v/>
      </c>
      <c r="W27" s="7">
        <f>SUM(W2:W26)</f>
        <v/>
      </c>
      <c r="X27" s="7">
        <f>SUM(X2:X26)</f>
        <v/>
      </c>
      <c r="Y27" s="7">
        <f>SUM(Y2:Y26)</f>
        <v/>
      </c>
      <c r="Z27" s="7">
        <f>SUM(Z2:Z26)</f>
        <v/>
      </c>
      <c r="AA27" s="7">
        <f>SUM(AA2:AA26)</f>
        <v/>
      </c>
      <c r="AB27" s="7">
        <f>SUM(AB2:AB26)</f>
        <v/>
      </c>
      <c r="AC27" s="7">
        <f>SUM(AC2:AC26)</f>
        <v/>
      </c>
      <c r="AD27" s="7">
        <f>SUM(AD2:AD26)</f>
        <v/>
      </c>
      <c r="AE27" s="7">
        <f>SUM(AE2:AE26)</f>
        <v/>
      </c>
      <c r="AF27" s="7">
        <f>SUM(AF2:AF26)</f>
        <v/>
      </c>
      <c r="AG27" s="7">
        <f>SUM(AG2:AG26)</f>
        <v/>
      </c>
      <c r="AH27" s="7">
        <f>SUM(AH2:AH26)</f>
        <v/>
      </c>
      <c r="AI27" s="7">
        <f>SUM(AI2:AI26)</f>
        <v/>
      </c>
      <c r="AJ27" s="7">
        <f>SUM(AJ2:AJ26)</f>
        <v/>
      </c>
      <c r="AK27" s="7">
        <f>SUM(AK2:AK26)</f>
        <v/>
      </c>
      <c r="AL27" s="7">
        <f>SUM(AL2:AL26)</f>
        <v/>
      </c>
      <c r="AM27" s="7">
        <f>SUM(AM2:AM26)</f>
        <v/>
      </c>
    </row>
  </sheetData>
  <autoFilter ref="A1:A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Investimento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Sviluppo piattaforma Atlas (costi capitalizzati)</t>
        </is>
      </c>
      <c r="B2" s="4" t="n">
        <v>6125</v>
      </c>
      <c r="C2" s="4" t="n">
        <v>6125</v>
      </c>
      <c r="D2" s="4" t="n">
        <v>6125</v>
      </c>
      <c r="E2" s="4" t="n">
        <v>6125</v>
      </c>
      <c r="F2" s="4" t="n">
        <v>6125</v>
      </c>
      <c r="G2" s="4" t="n">
        <v>6125</v>
      </c>
      <c r="H2" s="4" t="n">
        <v>6125</v>
      </c>
      <c r="I2" s="4" t="n">
        <v>6125</v>
      </c>
      <c r="J2" s="4" t="n">
        <v>6125</v>
      </c>
      <c r="K2" s="4" t="n">
        <v>6125</v>
      </c>
      <c r="L2" s="4" t="n">
        <v>6125</v>
      </c>
      <c r="M2" s="4" t="n">
        <v>6125</v>
      </c>
      <c r="N2" s="4" t="n">
        <v>7584</v>
      </c>
      <c r="O2" s="4" t="n">
        <v>7584</v>
      </c>
      <c r="P2" s="4" t="n">
        <v>7584</v>
      </c>
      <c r="Q2" s="4" t="n">
        <v>7584</v>
      </c>
      <c r="R2" s="4" t="n">
        <v>7583</v>
      </c>
      <c r="S2" s="4" t="n">
        <v>7583</v>
      </c>
      <c r="T2" s="4" t="n">
        <v>7583</v>
      </c>
      <c r="U2" s="4" t="n">
        <v>7583</v>
      </c>
      <c r="V2" s="4" t="n">
        <v>7583</v>
      </c>
      <c r="W2" s="4" t="n">
        <v>7583</v>
      </c>
      <c r="X2" s="4" t="n">
        <v>7583</v>
      </c>
      <c r="Y2" s="4" t="n">
        <v>7583</v>
      </c>
      <c r="Z2" s="4" t="n">
        <v>8750</v>
      </c>
      <c r="AA2" s="4" t="n">
        <v>8750</v>
      </c>
      <c r="AB2" s="4" t="n">
        <v>8750</v>
      </c>
      <c r="AC2" s="4" t="n">
        <v>8750</v>
      </c>
      <c r="AD2" s="4" t="n">
        <v>8750</v>
      </c>
      <c r="AE2" s="4" t="n">
        <v>8750</v>
      </c>
      <c r="AF2" s="4" t="n">
        <v>8750</v>
      </c>
      <c r="AG2" s="4" t="n">
        <v>8750</v>
      </c>
      <c r="AH2" s="4" t="n">
        <v>8750</v>
      </c>
      <c r="AI2" s="4" t="n">
        <v>8750</v>
      </c>
      <c r="AJ2" s="4" t="n">
        <v>8750</v>
      </c>
      <c r="AK2" s="4" t="n">
        <v>8750</v>
      </c>
    </row>
    <row r="3">
      <c r="A3" s="2" t="inlineStr">
        <is>
          <t>Infrastruttura cloud e apparati di test</t>
        </is>
      </c>
      <c r="B3" s="4" t="n">
        <v>4160</v>
      </c>
      <c r="C3" s="4" t="n">
        <v>4160</v>
      </c>
      <c r="D3" s="4" t="n">
        <v>4160</v>
      </c>
      <c r="E3" s="4" t="n">
        <v>4160</v>
      </c>
      <c r="F3" s="4" t="n">
        <v>4160</v>
      </c>
      <c r="G3" s="4" t="n">
        <v>4160</v>
      </c>
      <c r="H3" s="4" t="n">
        <v>4160</v>
      </c>
      <c r="I3" s="4" t="n">
        <v>2080</v>
      </c>
      <c r="J3" s="4" t="n">
        <v>6240</v>
      </c>
      <c r="K3" s="4" t="n">
        <v>6240</v>
      </c>
      <c r="L3" s="4" t="n">
        <v>4160</v>
      </c>
      <c r="M3" s="4" t="n">
        <v>4160</v>
      </c>
      <c r="N3" s="4" t="n">
        <v>3840</v>
      </c>
      <c r="O3" s="4" t="n">
        <v>3840</v>
      </c>
      <c r="P3" s="4" t="n">
        <v>3840</v>
      </c>
      <c r="Q3" s="4" t="n">
        <v>3840</v>
      </c>
      <c r="R3" s="4" t="n">
        <v>3840</v>
      </c>
      <c r="S3" s="4" t="n">
        <v>3840</v>
      </c>
      <c r="T3" s="4" t="n">
        <v>3840</v>
      </c>
      <c r="U3" s="4" t="n">
        <v>1920</v>
      </c>
      <c r="V3" s="4" t="n">
        <v>5760</v>
      </c>
      <c r="W3" s="4" t="n">
        <v>5760</v>
      </c>
      <c r="X3" s="4" t="n">
        <v>3840</v>
      </c>
      <c r="Y3" s="4" t="n">
        <v>3840</v>
      </c>
      <c r="Z3" s="4" t="n">
        <v>4400</v>
      </c>
      <c r="AA3" s="4" t="n">
        <v>4400</v>
      </c>
      <c r="AB3" s="4" t="n">
        <v>4400</v>
      </c>
      <c r="AC3" s="4" t="n">
        <v>4400</v>
      </c>
      <c r="AD3" s="4" t="n">
        <v>4400</v>
      </c>
      <c r="AE3" s="4" t="n">
        <v>4400</v>
      </c>
      <c r="AF3" s="4" t="n">
        <v>4400</v>
      </c>
      <c r="AG3" s="4" t="n">
        <v>2200</v>
      </c>
      <c r="AH3" s="4" t="n">
        <v>6600</v>
      </c>
      <c r="AI3" s="4" t="n">
        <v>6600</v>
      </c>
      <c r="AJ3" s="4" t="n">
        <v>4400</v>
      </c>
      <c r="AK3" s="4" t="n">
        <v>4400</v>
      </c>
    </row>
    <row r="4">
      <c r="A4" s="2" t="inlineStr">
        <is>
          <t>Macchine d'ufficio e arredi</t>
        </is>
      </c>
      <c r="B4" s="4" t="n">
        <v>1333</v>
      </c>
      <c r="C4" s="4" t="n">
        <v>1333</v>
      </c>
      <c r="D4" s="4" t="n">
        <v>3111</v>
      </c>
      <c r="E4" s="4" t="n">
        <v>2222</v>
      </c>
      <c r="F4" s="4" t="n">
        <v>1778</v>
      </c>
      <c r="G4" s="4" t="n">
        <v>1556</v>
      </c>
      <c r="H4" s="4" t="n">
        <v>1333</v>
      </c>
      <c r="I4" s="4" t="n">
        <v>445</v>
      </c>
      <c r="J4" s="4" t="n">
        <v>4000</v>
      </c>
      <c r="K4" s="4" t="n">
        <v>3111</v>
      </c>
      <c r="L4" s="4" t="n">
        <v>1778</v>
      </c>
      <c r="M4" s="4" t="n">
        <v>2000</v>
      </c>
      <c r="N4" s="4" t="n">
        <v>1445</v>
      </c>
      <c r="O4" s="4" t="n">
        <v>1445</v>
      </c>
      <c r="P4" s="4" t="n">
        <v>3370</v>
      </c>
      <c r="Q4" s="4" t="n">
        <v>2407</v>
      </c>
      <c r="R4" s="4" t="n">
        <v>1926</v>
      </c>
      <c r="S4" s="4" t="n">
        <v>1685</v>
      </c>
      <c r="T4" s="4" t="n">
        <v>1444</v>
      </c>
      <c r="U4" s="4" t="n">
        <v>482</v>
      </c>
      <c r="V4" s="4" t="n">
        <v>4333</v>
      </c>
      <c r="W4" s="4" t="n">
        <v>3370</v>
      </c>
      <c r="X4" s="4" t="n">
        <v>1926</v>
      </c>
      <c r="Y4" s="4" t="n">
        <v>2167</v>
      </c>
      <c r="Z4" s="4" t="n">
        <v>1222</v>
      </c>
      <c r="AA4" s="4" t="n">
        <v>1222</v>
      </c>
      <c r="AB4" s="4" t="n">
        <v>2852</v>
      </c>
      <c r="AC4" s="4" t="n">
        <v>2037</v>
      </c>
      <c r="AD4" s="4" t="n">
        <v>1630</v>
      </c>
      <c r="AE4" s="4" t="n">
        <v>1426</v>
      </c>
      <c r="AF4" s="4" t="n">
        <v>1222</v>
      </c>
      <c r="AG4" s="4" t="n">
        <v>407</v>
      </c>
      <c r="AH4" s="4" t="n">
        <v>3667</v>
      </c>
      <c r="AI4" s="4" t="n">
        <v>2852</v>
      </c>
      <c r="AJ4" s="4" t="n">
        <v>1630</v>
      </c>
      <c r="AK4" s="4" t="n">
        <v>1833</v>
      </c>
    </row>
    <row r="5">
      <c r="A5" s="2" t="inlineStr">
        <is>
          <t>Software e licenze perpetue</t>
        </is>
      </c>
      <c r="B5" s="4" t="n">
        <v>1440</v>
      </c>
      <c r="C5" s="4" t="n">
        <v>1440</v>
      </c>
      <c r="D5" s="4" t="n">
        <v>1440</v>
      </c>
      <c r="E5" s="4" t="n">
        <v>1440</v>
      </c>
      <c r="F5" s="4" t="n">
        <v>1440</v>
      </c>
      <c r="G5" s="4" t="n">
        <v>1440</v>
      </c>
      <c r="H5" s="4" t="n">
        <v>1440</v>
      </c>
      <c r="I5" s="4" t="n">
        <v>720</v>
      </c>
      <c r="J5" s="4" t="n">
        <v>2160</v>
      </c>
      <c r="K5" s="4" t="n">
        <v>2160</v>
      </c>
      <c r="L5" s="4" t="n">
        <v>1440</v>
      </c>
      <c r="M5" s="4" t="n">
        <v>1440</v>
      </c>
      <c r="N5" s="4" t="n">
        <v>1600</v>
      </c>
      <c r="O5" s="4" t="n">
        <v>1600</v>
      </c>
      <c r="P5" s="4" t="n">
        <v>1600</v>
      </c>
      <c r="Q5" s="4" t="n">
        <v>1600</v>
      </c>
      <c r="R5" s="4" t="n">
        <v>1600</v>
      </c>
      <c r="S5" s="4" t="n">
        <v>1600</v>
      </c>
      <c r="T5" s="4" t="n">
        <v>1600</v>
      </c>
      <c r="U5" s="4" t="n">
        <v>800</v>
      </c>
      <c r="V5" s="4" t="n">
        <v>2400</v>
      </c>
      <c r="W5" s="4" t="n">
        <v>2400</v>
      </c>
      <c r="X5" s="4" t="n">
        <v>1600</v>
      </c>
      <c r="Y5" s="4" t="n">
        <v>1600</v>
      </c>
      <c r="Z5" s="4" t="n">
        <v>1760</v>
      </c>
      <c r="AA5" s="4" t="n">
        <v>1760</v>
      </c>
      <c r="AB5" s="4" t="n">
        <v>1760</v>
      </c>
      <c r="AC5" s="4" t="n">
        <v>1760</v>
      </c>
      <c r="AD5" s="4" t="n">
        <v>1760</v>
      </c>
      <c r="AE5" s="4" t="n">
        <v>1760</v>
      </c>
      <c r="AF5" s="4" t="n">
        <v>1760</v>
      </c>
      <c r="AG5" s="4" t="n">
        <v>880</v>
      </c>
      <c r="AH5" s="4" t="n">
        <v>2640</v>
      </c>
      <c r="AI5" s="4" t="n">
        <v>2640</v>
      </c>
      <c r="AJ5" s="4" t="n">
        <v>1760</v>
      </c>
      <c r="AK5" s="4" t="n">
        <v>1760</v>
      </c>
    </row>
    <row r="6">
      <c r="A6" s="5" t="inlineStr">
        <is>
          <t>Totale</t>
        </is>
      </c>
      <c r="B6" s="7">
        <f>SUM(B2:B5)</f>
        <v/>
      </c>
      <c r="C6" s="7">
        <f>SUM(C2:C5)</f>
        <v/>
      </c>
      <c r="D6" s="7">
        <f>SUM(D2:D5)</f>
        <v/>
      </c>
      <c r="E6" s="7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  <c r="L6" s="7">
        <f>SUM(L2:L5)</f>
        <v/>
      </c>
      <c r="M6" s="7">
        <f>SUM(M2:M5)</f>
        <v/>
      </c>
      <c r="N6" s="7">
        <f>SUM(N2:N5)</f>
        <v/>
      </c>
      <c r="O6" s="7">
        <f>SUM(O2:O5)</f>
        <v/>
      </c>
      <c r="P6" s="7">
        <f>SUM(P2:P5)</f>
        <v/>
      </c>
      <c r="Q6" s="7">
        <f>SUM(Q2:Q5)</f>
        <v/>
      </c>
      <c r="R6" s="7">
        <f>SUM(R2:R5)</f>
        <v/>
      </c>
      <c r="S6" s="7">
        <f>SUM(S2:S5)</f>
        <v/>
      </c>
      <c r="T6" s="7">
        <f>SUM(T2:T5)</f>
        <v/>
      </c>
      <c r="U6" s="7">
        <f>SUM(U2:U5)</f>
        <v/>
      </c>
      <c r="V6" s="7">
        <f>SUM(V2:V5)</f>
        <v/>
      </c>
      <c r="W6" s="7">
        <f>SUM(W2:W5)</f>
        <v/>
      </c>
      <c r="X6" s="7">
        <f>SUM(X2:X5)</f>
        <v/>
      </c>
      <c r="Y6" s="7">
        <f>SUM(Y2:Y5)</f>
        <v/>
      </c>
      <c r="Z6" s="7">
        <f>SUM(Z2:Z5)</f>
        <v/>
      </c>
      <c r="AA6" s="7">
        <f>SUM(AA2:AA5)</f>
        <v/>
      </c>
      <c r="AB6" s="7">
        <f>SUM(AB2:AB5)</f>
        <v/>
      </c>
      <c r="AC6" s="7">
        <f>SUM(AC2:AC5)</f>
        <v/>
      </c>
      <c r="AD6" s="7">
        <f>SUM(AD2:AD5)</f>
        <v/>
      </c>
      <c r="AE6" s="7">
        <f>SUM(AE2:AE5)</f>
        <v/>
      </c>
      <c r="AF6" s="7">
        <f>SUM(AF2:AF5)</f>
        <v/>
      </c>
      <c r="AG6" s="7">
        <f>SUM(AG2:AG5)</f>
        <v/>
      </c>
      <c r="AH6" s="7">
        <f>SUM(AH2:AH5)</f>
        <v/>
      </c>
      <c r="AI6" s="7">
        <f>SUM(AI2:AI5)</f>
        <v/>
      </c>
      <c r="AJ6" s="7">
        <f>SUM(AJ2:AJ5)</f>
        <v/>
      </c>
      <c r="AK6" s="7">
        <f>SUM(AK2:AK5)</f>
        <v/>
      </c>
    </row>
  </sheetData>
  <autoFilter ref="A1:A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 (fine mese)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Immobilizzazioni immateriali</t>
        </is>
      </c>
      <c r="B2" s="4" t="n">
        <v>110605</v>
      </c>
      <c r="C2" s="4" t="n">
        <v>115069</v>
      </c>
      <c r="D2" s="4" t="n">
        <v>119393</v>
      </c>
      <c r="E2" s="4" t="n">
        <v>123576</v>
      </c>
      <c r="F2" s="4" t="n">
        <v>127621</v>
      </c>
      <c r="G2" s="4" t="n">
        <v>131526</v>
      </c>
      <c r="H2" s="4" t="n">
        <v>135293</v>
      </c>
      <c r="I2" s="4" t="n">
        <v>138200</v>
      </c>
      <c r="J2" s="4" t="n">
        <v>142425</v>
      </c>
      <c r="K2" s="4" t="n">
        <v>146490</v>
      </c>
      <c r="L2" s="4" t="n">
        <v>149676</v>
      </c>
      <c r="M2" s="4" t="n">
        <v>152720</v>
      </c>
      <c r="N2" s="4" t="n">
        <v>157758</v>
      </c>
      <c r="O2" s="4" t="n">
        <v>162627</v>
      </c>
      <c r="P2" s="4" t="n">
        <v>167329</v>
      </c>
      <c r="Q2" s="4" t="n">
        <v>171862</v>
      </c>
      <c r="R2" s="4" t="n">
        <v>176226</v>
      </c>
      <c r="S2" s="4" t="n">
        <v>180422</v>
      </c>
      <c r="T2" s="4" t="n">
        <v>184451</v>
      </c>
      <c r="U2" s="4" t="n">
        <v>187513</v>
      </c>
      <c r="V2" s="4" t="n">
        <v>192027</v>
      </c>
      <c r="W2" s="4" t="n">
        <v>196349</v>
      </c>
      <c r="X2" s="4" t="n">
        <v>199681</v>
      </c>
      <c r="Y2" s="4" t="n">
        <v>202843</v>
      </c>
      <c r="Z2" s="4" t="n">
        <v>207792</v>
      </c>
      <c r="AA2" s="4" t="n">
        <v>212547</v>
      </c>
      <c r="AB2" s="4" t="n">
        <v>217110</v>
      </c>
      <c r="AC2" s="4" t="n">
        <v>221480</v>
      </c>
      <c r="AD2" s="4" t="n">
        <v>225658</v>
      </c>
      <c r="AE2" s="4" t="n">
        <v>229644</v>
      </c>
      <c r="AF2" s="4" t="n">
        <v>233439</v>
      </c>
      <c r="AG2" s="4" t="n">
        <v>236162</v>
      </c>
      <c r="AH2" s="4" t="n">
        <v>240475</v>
      </c>
      <c r="AI2" s="4" t="n">
        <v>244569</v>
      </c>
      <c r="AJ2" s="4" t="n">
        <v>247566</v>
      </c>
      <c r="AK2" s="4" t="n">
        <v>250369</v>
      </c>
    </row>
    <row r="3">
      <c r="A3" s="2" t="inlineStr">
        <is>
          <t>Immobilizzazioni materiali</t>
        </is>
      </c>
      <c r="B3" s="4" t="n">
        <v>121428</v>
      </c>
      <c r="C3" s="4" t="n">
        <v>123768</v>
      </c>
      <c r="D3" s="4" t="n">
        <v>127797</v>
      </c>
      <c r="E3" s="4" t="n">
        <v>130817</v>
      </c>
      <c r="F3" s="4" t="n">
        <v>133290</v>
      </c>
      <c r="G3" s="4" t="n">
        <v>135443</v>
      </c>
      <c r="H3" s="4" t="n">
        <v>137281</v>
      </c>
      <c r="I3" s="4" t="n">
        <v>136062</v>
      </c>
      <c r="J3" s="4" t="n">
        <v>142517</v>
      </c>
      <c r="K3" s="4" t="n">
        <v>147914</v>
      </c>
      <c r="L3" s="4" t="n">
        <v>149745</v>
      </c>
      <c r="M3" s="4" t="n">
        <v>151704</v>
      </c>
      <c r="N3" s="4" t="n">
        <v>153271</v>
      </c>
      <c r="O3" s="4" t="n">
        <v>154752</v>
      </c>
      <c r="P3" s="4" t="n">
        <v>158071</v>
      </c>
      <c r="Q3" s="4" t="n">
        <v>160307</v>
      </c>
      <c r="R3" s="4" t="n">
        <v>161960</v>
      </c>
      <c r="S3" s="4" t="n">
        <v>163278</v>
      </c>
      <c r="T3" s="4" t="n">
        <v>164265</v>
      </c>
      <c r="U3" s="4" t="n">
        <v>162284</v>
      </c>
      <c r="V3" s="4" t="n">
        <v>167955</v>
      </c>
      <c r="W3" s="4" t="n">
        <v>172497</v>
      </c>
      <c r="X3" s="4" t="n">
        <v>173527</v>
      </c>
      <c r="Y3" s="4" t="n">
        <v>174706</v>
      </c>
      <c r="Z3" s="4" t="n">
        <v>175820</v>
      </c>
      <c r="AA3" s="4" t="n">
        <v>176843</v>
      </c>
      <c r="AB3" s="4" t="n">
        <v>179405</v>
      </c>
      <c r="AC3" s="4" t="n">
        <v>181031</v>
      </c>
      <c r="AD3" s="4" t="n">
        <v>182145</v>
      </c>
      <c r="AE3" s="4" t="n">
        <v>182956</v>
      </c>
      <c r="AF3" s="4" t="n">
        <v>183468</v>
      </c>
      <c r="AG3" s="4" t="n">
        <v>180873</v>
      </c>
      <c r="AH3" s="4" t="n">
        <v>185896</v>
      </c>
      <c r="AI3" s="4" t="n">
        <v>189936</v>
      </c>
      <c r="AJ3" s="4" t="n">
        <v>190398</v>
      </c>
      <c r="AK3" s="4" t="n">
        <v>190967</v>
      </c>
    </row>
    <row r="4">
      <c r="A4" s="2" t="inlineStr">
        <is>
          <t>Immobilizzazioni finanziarie</t>
        </is>
      </c>
      <c r="B4" s="4" t="n">
        <v>8500</v>
      </c>
      <c r="C4" s="4" t="n">
        <v>8500</v>
      </c>
      <c r="D4" s="4" t="n">
        <v>8500</v>
      </c>
      <c r="E4" s="4" t="n">
        <v>8500</v>
      </c>
      <c r="F4" s="4" t="n">
        <v>8500</v>
      </c>
      <c r="G4" s="4" t="n">
        <v>8500</v>
      </c>
      <c r="H4" s="4" t="n">
        <v>8500</v>
      </c>
      <c r="I4" s="4" t="n">
        <v>8500</v>
      </c>
      <c r="J4" s="4" t="n">
        <v>8500</v>
      </c>
      <c r="K4" s="4" t="n">
        <v>8500</v>
      </c>
      <c r="L4" s="4" t="n">
        <v>8500</v>
      </c>
      <c r="M4" s="4" t="n">
        <v>8500</v>
      </c>
      <c r="N4" s="4" t="n">
        <v>8500</v>
      </c>
      <c r="O4" s="4" t="n">
        <v>8500</v>
      </c>
      <c r="P4" s="4" t="n">
        <v>8500</v>
      </c>
      <c r="Q4" s="4" t="n">
        <v>8500</v>
      </c>
      <c r="R4" s="4" t="n">
        <v>8500</v>
      </c>
      <c r="S4" s="4" t="n">
        <v>8500</v>
      </c>
      <c r="T4" s="4" t="n">
        <v>8500</v>
      </c>
      <c r="U4" s="4" t="n">
        <v>8500</v>
      </c>
      <c r="V4" s="4" t="n">
        <v>8500</v>
      </c>
      <c r="W4" s="4" t="n">
        <v>8500</v>
      </c>
      <c r="X4" s="4" t="n">
        <v>8500</v>
      </c>
      <c r="Y4" s="4" t="n">
        <v>8500</v>
      </c>
      <c r="Z4" s="4" t="n">
        <v>8500</v>
      </c>
      <c r="AA4" s="4" t="n">
        <v>8500</v>
      </c>
      <c r="AB4" s="4" t="n">
        <v>8500</v>
      </c>
      <c r="AC4" s="4" t="n">
        <v>8500</v>
      </c>
      <c r="AD4" s="4" t="n">
        <v>8500</v>
      </c>
      <c r="AE4" s="4" t="n">
        <v>8500</v>
      </c>
      <c r="AF4" s="4" t="n">
        <v>8500</v>
      </c>
      <c r="AG4" s="4" t="n">
        <v>8500</v>
      </c>
      <c r="AH4" s="4" t="n">
        <v>8500</v>
      </c>
      <c r="AI4" s="4" t="n">
        <v>8500</v>
      </c>
      <c r="AJ4" s="4" t="n">
        <v>8500</v>
      </c>
      <c r="AK4" s="4" t="n">
        <v>8500</v>
      </c>
    </row>
    <row r="5">
      <c r="A5" s="2" t="inlineStr">
        <is>
          <t>Lavori in corso</t>
        </is>
      </c>
      <c r="B5" s="4" t="n">
        <v>74723</v>
      </c>
      <c r="C5" s="4" t="n">
        <v>75095</v>
      </c>
      <c r="D5" s="4" t="n">
        <v>75829</v>
      </c>
      <c r="E5" s="4" t="n">
        <v>76553</v>
      </c>
      <c r="F5" s="4" t="n">
        <v>77632</v>
      </c>
      <c r="G5" s="4" t="n">
        <v>78958</v>
      </c>
      <c r="H5" s="4" t="n">
        <v>80145</v>
      </c>
      <c r="I5" s="4" t="n">
        <v>80272</v>
      </c>
      <c r="J5" s="4" t="n">
        <v>81656</v>
      </c>
      <c r="K5" s="4" t="n">
        <v>83231</v>
      </c>
      <c r="L5" s="4" t="n">
        <v>84814</v>
      </c>
      <c r="M5" s="4" t="n">
        <v>87420</v>
      </c>
      <c r="N5" s="4" t="n">
        <v>88217</v>
      </c>
      <c r="O5" s="4" t="n">
        <v>89097</v>
      </c>
      <c r="P5" s="4" t="n">
        <v>90125</v>
      </c>
      <c r="Q5" s="4" t="n">
        <v>91154</v>
      </c>
      <c r="R5" s="4" t="n">
        <v>92278</v>
      </c>
      <c r="S5" s="4" t="n">
        <v>93492</v>
      </c>
      <c r="T5" s="4" t="n">
        <v>94641</v>
      </c>
      <c r="U5" s="4" t="n">
        <v>95392</v>
      </c>
      <c r="V5" s="4" t="n">
        <v>96589</v>
      </c>
      <c r="W5" s="4" t="n">
        <v>97936</v>
      </c>
      <c r="X5" s="4" t="n">
        <v>99299</v>
      </c>
      <c r="Y5" s="4" t="n">
        <v>101050</v>
      </c>
      <c r="Z5" s="4" t="n">
        <v>101945</v>
      </c>
      <c r="AA5" s="4" t="n">
        <v>102935</v>
      </c>
      <c r="AB5" s="4" t="n">
        <v>104094</v>
      </c>
      <c r="AC5" s="4" t="n">
        <v>105257</v>
      </c>
      <c r="AD5" s="4" t="n">
        <v>106531</v>
      </c>
      <c r="AE5" s="4" t="n">
        <v>107909</v>
      </c>
      <c r="AF5" s="4" t="n">
        <v>109217</v>
      </c>
      <c r="AG5" s="4" t="n">
        <v>110073</v>
      </c>
      <c r="AH5" s="4" t="n">
        <v>111442</v>
      </c>
      <c r="AI5" s="4" t="n">
        <v>112984</v>
      </c>
      <c r="AJ5" s="4" t="n">
        <v>114548</v>
      </c>
      <c r="AK5" s="4" t="n">
        <v>116560</v>
      </c>
    </row>
    <row r="6">
      <c r="A6" s="2" t="inlineStr">
        <is>
          <t>Crediti verso clienti</t>
        </is>
      </c>
      <c r="B6" s="4" t="n">
        <v>418153</v>
      </c>
      <c r="C6" s="4" t="n">
        <v>420233</v>
      </c>
      <c r="D6" s="4" t="n">
        <v>424343</v>
      </c>
      <c r="E6" s="4" t="n">
        <v>428391</v>
      </c>
      <c r="F6" s="4" t="n">
        <v>434429</v>
      </c>
      <c r="G6" s="4" t="n">
        <v>441852</v>
      </c>
      <c r="H6" s="4" t="n">
        <v>448495</v>
      </c>
      <c r="I6" s="4" t="n">
        <v>449207</v>
      </c>
      <c r="J6" s="4" t="n">
        <v>456948</v>
      </c>
      <c r="K6" s="4" t="n">
        <v>465764</v>
      </c>
      <c r="L6" s="4" t="n">
        <v>474624</v>
      </c>
      <c r="M6" s="4" t="n">
        <v>489205</v>
      </c>
      <c r="N6" s="4" t="n">
        <v>462812</v>
      </c>
      <c r="O6" s="4" t="n">
        <v>467430</v>
      </c>
      <c r="P6" s="4" t="n">
        <v>472823</v>
      </c>
      <c r="Q6" s="4" t="n">
        <v>478218</v>
      </c>
      <c r="R6" s="4" t="n">
        <v>484116</v>
      </c>
      <c r="S6" s="4" t="n">
        <v>490485</v>
      </c>
      <c r="T6" s="4" t="n">
        <v>496514</v>
      </c>
      <c r="U6" s="4" t="n">
        <v>500453</v>
      </c>
      <c r="V6" s="4" t="n">
        <v>506735</v>
      </c>
      <c r="W6" s="4" t="n">
        <v>513801</v>
      </c>
      <c r="X6" s="4" t="n">
        <v>520953</v>
      </c>
      <c r="Y6" s="4" t="n">
        <v>530137</v>
      </c>
      <c r="Z6" s="4" t="n">
        <v>505118</v>
      </c>
      <c r="AA6" s="4" t="n">
        <v>510025</v>
      </c>
      <c r="AB6" s="4" t="n">
        <v>515769</v>
      </c>
      <c r="AC6" s="4" t="n">
        <v>521529</v>
      </c>
      <c r="AD6" s="4" t="n">
        <v>527840</v>
      </c>
      <c r="AE6" s="4" t="n">
        <v>534671</v>
      </c>
      <c r="AF6" s="4" t="n">
        <v>541151</v>
      </c>
      <c r="AG6" s="4" t="n">
        <v>545394</v>
      </c>
      <c r="AH6" s="4" t="n">
        <v>552173</v>
      </c>
      <c r="AI6" s="4" t="n">
        <v>559814</v>
      </c>
      <c r="AJ6" s="4" t="n">
        <v>567563</v>
      </c>
      <c r="AK6" s="4" t="n">
        <v>577534</v>
      </c>
    </row>
    <row r="7">
      <c r="A7" s="2" t="inlineStr">
        <is>
          <t>Crediti tributari</t>
        </is>
      </c>
      <c r="B7" s="4" t="n">
        <v>42000</v>
      </c>
      <c r="C7" s="4" t="n">
        <v>42000</v>
      </c>
      <c r="D7" s="4" t="n">
        <v>42000</v>
      </c>
      <c r="E7" s="4" t="n">
        <v>42000</v>
      </c>
      <c r="F7" s="4" t="n">
        <v>42000</v>
      </c>
      <c r="G7" s="4" t="n">
        <v>42000</v>
      </c>
      <c r="H7" s="4" t="n">
        <v>39667</v>
      </c>
      <c r="I7" s="4" t="n">
        <v>37334</v>
      </c>
      <c r="J7" s="4" t="n">
        <v>35001</v>
      </c>
      <c r="K7" s="4" t="n">
        <v>32668</v>
      </c>
      <c r="L7" s="4" t="n">
        <v>30335</v>
      </c>
      <c r="M7" s="4" t="n">
        <v>66002</v>
      </c>
      <c r="N7" s="4" t="n">
        <v>66002</v>
      </c>
      <c r="O7" s="4" t="n">
        <v>66002</v>
      </c>
      <c r="P7" s="4" t="n">
        <v>66002</v>
      </c>
      <c r="Q7" s="4" t="n">
        <v>66002</v>
      </c>
      <c r="R7" s="4" t="n">
        <v>66002</v>
      </c>
      <c r="S7" s="4" t="n">
        <v>66002</v>
      </c>
      <c r="T7" s="4" t="n">
        <v>63891</v>
      </c>
      <c r="U7" s="4" t="n">
        <v>61780</v>
      </c>
      <c r="V7" s="4" t="n">
        <v>59669</v>
      </c>
      <c r="W7" s="4" t="n">
        <v>57558</v>
      </c>
      <c r="X7" s="4" t="n">
        <v>55447</v>
      </c>
      <c r="Y7" s="4" t="n">
        <v>99336</v>
      </c>
      <c r="Z7" s="4" t="n">
        <v>99336</v>
      </c>
      <c r="AA7" s="4" t="n">
        <v>99336</v>
      </c>
      <c r="AB7" s="4" t="n">
        <v>99336</v>
      </c>
      <c r="AC7" s="4" t="n">
        <v>99336</v>
      </c>
      <c r="AD7" s="4" t="n">
        <v>99336</v>
      </c>
      <c r="AE7" s="4" t="n">
        <v>99336</v>
      </c>
      <c r="AF7" s="4" t="n">
        <v>96780</v>
      </c>
      <c r="AG7" s="4" t="n">
        <v>94224</v>
      </c>
      <c r="AH7" s="4" t="n">
        <v>91668</v>
      </c>
      <c r="AI7" s="4" t="n">
        <v>89112</v>
      </c>
      <c r="AJ7" s="4" t="n">
        <v>86556</v>
      </c>
      <c r="AK7" s="4" t="n">
        <v>136000</v>
      </c>
    </row>
    <row r="8">
      <c r="A8" s="2" t="inlineStr">
        <is>
          <t>Crediti verso altri</t>
        </is>
      </c>
      <c r="B8" s="4" t="n">
        <v>4207</v>
      </c>
      <c r="C8" s="4" t="n">
        <v>4215</v>
      </c>
      <c r="D8" s="4" t="n">
        <v>4230</v>
      </c>
      <c r="E8" s="4" t="n">
        <v>4246</v>
      </c>
      <c r="F8" s="4" t="n">
        <v>4269</v>
      </c>
      <c r="G8" s="4" t="n">
        <v>4297</v>
      </c>
      <c r="H8" s="4" t="n">
        <v>4322</v>
      </c>
      <c r="I8" s="4" t="n">
        <v>4325</v>
      </c>
      <c r="J8" s="4" t="n">
        <v>4354</v>
      </c>
      <c r="K8" s="4" t="n">
        <v>4388</v>
      </c>
      <c r="L8" s="4" t="n">
        <v>4421</v>
      </c>
      <c r="M8" s="4" t="n">
        <v>4477</v>
      </c>
      <c r="N8" s="4" t="n">
        <v>4494</v>
      </c>
      <c r="O8" s="4" t="n">
        <v>4512</v>
      </c>
      <c r="P8" s="4" t="n">
        <v>4534</v>
      </c>
      <c r="Q8" s="4" t="n">
        <v>4556</v>
      </c>
      <c r="R8" s="4" t="n">
        <v>4580</v>
      </c>
      <c r="S8" s="4" t="n">
        <v>4606</v>
      </c>
      <c r="T8" s="4" t="n">
        <v>4630</v>
      </c>
      <c r="U8" s="4" t="n">
        <v>4646</v>
      </c>
      <c r="V8" s="4" t="n">
        <v>4672</v>
      </c>
      <c r="W8" s="4" t="n">
        <v>4701</v>
      </c>
      <c r="X8" s="4" t="n">
        <v>4730</v>
      </c>
      <c r="Y8" s="4" t="n">
        <v>4767</v>
      </c>
      <c r="Z8" s="4" t="n">
        <v>4786</v>
      </c>
      <c r="AA8" s="4" t="n">
        <v>4807</v>
      </c>
      <c r="AB8" s="4" t="n">
        <v>4832</v>
      </c>
      <c r="AC8" s="4" t="n">
        <v>4856</v>
      </c>
      <c r="AD8" s="4" t="n">
        <v>4883</v>
      </c>
      <c r="AE8" s="4" t="n">
        <v>4913</v>
      </c>
      <c r="AF8" s="4" t="n">
        <v>4941</v>
      </c>
      <c r="AG8" s="4" t="n">
        <v>4959</v>
      </c>
      <c r="AH8" s="4" t="n">
        <v>4988</v>
      </c>
      <c r="AI8" s="4" t="n">
        <v>5021</v>
      </c>
      <c r="AJ8" s="4" t="n">
        <v>5054</v>
      </c>
      <c r="AK8" s="4" t="n">
        <v>5097</v>
      </c>
    </row>
    <row r="9">
      <c r="A9" s="2" t="inlineStr">
        <is>
          <t>Ratei e risconti attivi</t>
        </is>
      </c>
      <c r="B9" s="4" t="n">
        <v>9413</v>
      </c>
      <c r="C9" s="4" t="n">
        <v>9892</v>
      </c>
      <c r="D9" s="4" t="n">
        <v>10821</v>
      </c>
      <c r="E9" s="4" t="n">
        <v>10782</v>
      </c>
      <c r="F9" s="4" t="n">
        <v>10950</v>
      </c>
      <c r="G9" s="4" t="n">
        <v>10818</v>
      </c>
      <c r="H9" s="4" t="n">
        <v>10302</v>
      </c>
      <c r="I9" s="4" t="n">
        <v>8746</v>
      </c>
      <c r="J9" s="4" t="n">
        <v>10984</v>
      </c>
      <c r="K9" s="4" t="n">
        <v>11595</v>
      </c>
      <c r="L9" s="4" t="n">
        <v>11266</v>
      </c>
      <c r="M9" s="4" t="n">
        <v>11783</v>
      </c>
      <c r="N9" s="4" t="n">
        <v>9947</v>
      </c>
      <c r="O9" s="4" t="n">
        <v>10468</v>
      </c>
      <c r="P9" s="4" t="n">
        <v>11476</v>
      </c>
      <c r="Q9" s="4" t="n">
        <v>11439</v>
      </c>
      <c r="R9" s="4" t="n">
        <v>11622</v>
      </c>
      <c r="S9" s="4" t="n">
        <v>11480</v>
      </c>
      <c r="T9" s="4" t="n">
        <v>10929</v>
      </c>
      <c r="U9" s="4" t="n">
        <v>9265</v>
      </c>
      <c r="V9" s="4" t="n">
        <v>11682</v>
      </c>
      <c r="W9" s="4" t="n">
        <v>12347</v>
      </c>
      <c r="X9" s="4" t="n">
        <v>11996</v>
      </c>
      <c r="Y9" s="4" t="n">
        <v>12552</v>
      </c>
      <c r="Z9" s="4" t="n">
        <v>10507</v>
      </c>
      <c r="AA9" s="4" t="n">
        <v>11066</v>
      </c>
      <c r="AB9" s="4" t="n">
        <v>12142</v>
      </c>
      <c r="AC9" s="4" t="n">
        <v>12110</v>
      </c>
      <c r="AD9" s="4" t="n">
        <v>12311</v>
      </c>
      <c r="AE9" s="4" t="n">
        <v>12168</v>
      </c>
      <c r="AF9" s="4" t="n">
        <v>11590</v>
      </c>
      <c r="AG9" s="4" t="n">
        <v>9820</v>
      </c>
      <c r="AH9" s="4" t="n">
        <v>12402</v>
      </c>
      <c r="AI9" s="4" t="n">
        <v>13115</v>
      </c>
      <c r="AJ9" s="4" t="n">
        <v>12751</v>
      </c>
      <c r="AK9" s="4" t="n">
        <v>13360</v>
      </c>
    </row>
    <row r="10">
      <c r="A10" s="2" t="inlineStr">
        <is>
          <t>Disponibilità liquide</t>
        </is>
      </c>
      <c r="B10" s="4" t="n">
        <v>151143</v>
      </c>
      <c r="C10" s="4" t="n">
        <v>164033</v>
      </c>
      <c r="D10" s="4" t="n">
        <v>321723</v>
      </c>
      <c r="E10" s="4" t="n">
        <v>340548</v>
      </c>
      <c r="F10" s="4" t="n">
        <v>367452</v>
      </c>
      <c r="G10" s="4" t="n">
        <v>236597</v>
      </c>
      <c r="H10" s="4" t="n">
        <v>225619</v>
      </c>
      <c r="I10" s="4" t="n">
        <v>226891</v>
      </c>
      <c r="J10" s="4" t="n">
        <v>235885</v>
      </c>
      <c r="K10" s="4" t="n">
        <v>266349</v>
      </c>
      <c r="L10" s="4" t="n">
        <v>267722</v>
      </c>
      <c r="M10" s="4" t="n">
        <v>300339</v>
      </c>
      <c r="N10" s="4" t="n">
        <v>295466</v>
      </c>
      <c r="O10" s="4" t="n">
        <v>307261</v>
      </c>
      <c r="P10" s="4" t="n">
        <v>306748</v>
      </c>
      <c r="Q10" s="4" t="n">
        <v>327380</v>
      </c>
      <c r="R10" s="4" t="n">
        <v>358534</v>
      </c>
      <c r="S10" s="4" t="n">
        <v>217374</v>
      </c>
      <c r="T10" s="4" t="n">
        <v>201199</v>
      </c>
      <c r="U10" s="4" t="n">
        <v>195659</v>
      </c>
      <c r="V10" s="4" t="n">
        <v>204087</v>
      </c>
      <c r="W10" s="4" t="n">
        <v>243928</v>
      </c>
      <c r="X10" s="4" t="n">
        <v>240542</v>
      </c>
      <c r="Y10" s="4" t="n">
        <v>293650</v>
      </c>
      <c r="Z10" s="4" t="n">
        <v>280694</v>
      </c>
      <c r="AA10" s="4" t="n">
        <v>293644</v>
      </c>
      <c r="AB10" s="4" t="n">
        <v>310799</v>
      </c>
      <c r="AC10" s="4" t="n">
        <v>336186</v>
      </c>
      <c r="AD10" s="4" t="n">
        <v>372507</v>
      </c>
      <c r="AE10" s="4" t="n">
        <v>256840</v>
      </c>
      <c r="AF10" s="4" t="n">
        <v>240710</v>
      </c>
      <c r="AG10" s="4" t="n">
        <v>236339</v>
      </c>
      <c r="AH10" s="4" t="n">
        <v>260537</v>
      </c>
      <c r="AI10" s="4" t="n">
        <v>310428</v>
      </c>
      <c r="AJ10" s="4" t="n">
        <v>312173</v>
      </c>
      <c r="AK10" s="4" t="n">
        <v>379302</v>
      </c>
    </row>
    <row r="11">
      <c r="A11" s="2" t="inlineStr">
        <is>
          <t>TOTALE ATTIVO</t>
        </is>
      </c>
      <c r="B11" s="4" t="n">
        <v>940172</v>
      </c>
      <c r="C11" s="4" t="n">
        <v>962805</v>
      </c>
      <c r="D11" s="4" t="n">
        <v>1134636</v>
      </c>
      <c r="E11" s="4" t="n">
        <v>1165413</v>
      </c>
      <c r="F11" s="4" t="n">
        <v>1206143</v>
      </c>
      <c r="G11" s="4" t="n">
        <v>1089991</v>
      </c>
      <c r="H11" s="4" t="n">
        <v>1089624</v>
      </c>
      <c r="I11" s="4" t="n">
        <v>1089537</v>
      </c>
      <c r="J11" s="4" t="n">
        <v>1118270</v>
      </c>
      <c r="K11" s="4" t="n">
        <v>1166899</v>
      </c>
      <c r="L11" s="4" t="n">
        <v>1181103</v>
      </c>
      <c r="M11" s="4" t="n">
        <v>1272150</v>
      </c>
      <c r="N11" s="4" t="n">
        <v>1246467</v>
      </c>
      <c r="O11" s="4" t="n">
        <v>1270649</v>
      </c>
      <c r="P11" s="4" t="n">
        <v>1285608</v>
      </c>
      <c r="Q11" s="4" t="n">
        <v>1319418</v>
      </c>
      <c r="R11" s="4" t="n">
        <v>1363818</v>
      </c>
      <c r="S11" s="4" t="n">
        <v>1235639</v>
      </c>
      <c r="T11" s="4" t="n">
        <v>1229020</v>
      </c>
      <c r="U11" s="4" t="n">
        <v>1225492</v>
      </c>
      <c r="V11" s="4" t="n">
        <v>1251916</v>
      </c>
      <c r="W11" s="4" t="n">
        <v>1307617</v>
      </c>
      <c r="X11" s="4" t="n">
        <v>1314675</v>
      </c>
      <c r="Y11" s="4" t="n">
        <v>1427541</v>
      </c>
      <c r="Z11" s="4" t="n">
        <v>1394498</v>
      </c>
      <c r="AA11" s="4" t="n">
        <v>1419703</v>
      </c>
      <c r="AB11" s="4" t="n">
        <v>1451987</v>
      </c>
      <c r="AC11" s="4" t="n">
        <v>1490285</v>
      </c>
      <c r="AD11" s="4" t="n">
        <v>1539711</v>
      </c>
      <c r="AE11" s="4" t="n">
        <v>1436937</v>
      </c>
      <c r="AF11" s="4" t="n">
        <v>1429796</v>
      </c>
      <c r="AG11" s="4" t="n">
        <v>1426344</v>
      </c>
      <c r="AH11" s="4" t="n">
        <v>1468081</v>
      </c>
      <c r="AI11" s="4" t="n">
        <v>1533479</v>
      </c>
      <c r="AJ11" s="4" t="n">
        <v>1545109</v>
      </c>
      <c r="AK11" s="4" t="n">
        <v>1677689</v>
      </c>
    </row>
    <row r="12">
      <c r="A12" s="2" t="inlineStr">
        <is>
          <t>Patrimonio netto</t>
        </is>
      </c>
      <c r="B12" s="4" t="n">
        <v>561663</v>
      </c>
      <c r="C12" s="4" t="n">
        <v>574959</v>
      </c>
      <c r="D12" s="4" t="n">
        <v>596825</v>
      </c>
      <c r="E12" s="4" t="n">
        <v>616879</v>
      </c>
      <c r="F12" s="4" t="n">
        <v>644064</v>
      </c>
      <c r="G12" s="4" t="n">
        <v>531799</v>
      </c>
      <c r="H12" s="4" t="n">
        <v>562070</v>
      </c>
      <c r="I12" s="4" t="n">
        <v>559708</v>
      </c>
      <c r="J12" s="4" t="n">
        <v>584485</v>
      </c>
      <c r="K12" s="4" t="n">
        <v>615557</v>
      </c>
      <c r="L12" s="4" t="n">
        <v>648434</v>
      </c>
      <c r="M12" s="4" t="n">
        <v>691892</v>
      </c>
      <c r="N12" s="4" t="n">
        <v>702464</v>
      </c>
      <c r="O12" s="4" t="n">
        <v>715602</v>
      </c>
      <c r="P12" s="4" t="n">
        <v>738764</v>
      </c>
      <c r="Q12" s="4" t="n">
        <v>760641</v>
      </c>
      <c r="R12" s="4" t="n">
        <v>788786</v>
      </c>
      <c r="S12" s="4" t="n">
        <v>684310</v>
      </c>
      <c r="T12" s="4" t="n">
        <v>716443</v>
      </c>
      <c r="U12" s="4" t="n">
        <v>709736</v>
      </c>
      <c r="V12" s="4" t="n">
        <v>736797</v>
      </c>
      <c r="W12" s="4" t="n">
        <v>774198</v>
      </c>
      <c r="X12" s="4" t="n">
        <v>813922</v>
      </c>
      <c r="Y12" s="4" t="n">
        <v>868295</v>
      </c>
      <c r="Z12" s="4" t="n">
        <v>876866</v>
      </c>
      <c r="AA12" s="4" t="n">
        <v>892201</v>
      </c>
      <c r="AB12" s="4" t="n">
        <v>919341</v>
      </c>
      <c r="AC12" s="4" t="n">
        <v>942010</v>
      </c>
      <c r="AD12" s="4" t="n">
        <v>974611</v>
      </c>
      <c r="AE12" s="4" t="n">
        <v>860554</v>
      </c>
      <c r="AF12" s="4" t="n">
        <v>898048</v>
      </c>
      <c r="AG12" s="4" t="n">
        <v>890782</v>
      </c>
      <c r="AH12" s="4" t="n">
        <v>922328</v>
      </c>
      <c r="AI12" s="4" t="n">
        <v>966215</v>
      </c>
      <c r="AJ12" s="4" t="n">
        <v>1012981</v>
      </c>
      <c r="AK12" s="4" t="n">
        <v>1075513</v>
      </c>
    </row>
    <row r="13">
      <c r="A13" s="2" t="inlineStr">
        <is>
          <t>TFR</t>
        </is>
      </c>
      <c r="B13" s="4" t="n">
        <v>158809</v>
      </c>
      <c r="C13" s="4" t="n">
        <v>160655</v>
      </c>
      <c r="D13" s="4" t="n">
        <v>162501</v>
      </c>
      <c r="E13" s="4" t="n">
        <v>164347</v>
      </c>
      <c r="F13" s="4" t="n">
        <v>166193</v>
      </c>
      <c r="G13" s="4" t="n">
        <v>170886</v>
      </c>
      <c r="H13" s="4" t="n">
        <v>172732</v>
      </c>
      <c r="I13" s="4" t="n">
        <v>174578</v>
      </c>
      <c r="J13" s="4" t="n">
        <v>176580</v>
      </c>
      <c r="K13" s="4" t="n">
        <v>178711</v>
      </c>
      <c r="L13" s="4" t="n">
        <v>180842</v>
      </c>
      <c r="M13" s="4" t="n">
        <v>186104</v>
      </c>
      <c r="N13" s="4" t="n">
        <v>188313</v>
      </c>
      <c r="O13" s="4" t="n">
        <v>190695</v>
      </c>
      <c r="P13" s="4" t="n">
        <v>193077</v>
      </c>
      <c r="Q13" s="4" t="n">
        <v>195459</v>
      </c>
      <c r="R13" s="4" t="n">
        <v>197960</v>
      </c>
      <c r="S13" s="4" t="n">
        <v>203962</v>
      </c>
      <c r="T13" s="4" t="n">
        <v>206463</v>
      </c>
      <c r="U13" s="4" t="n">
        <v>208964</v>
      </c>
      <c r="V13" s="4" t="n">
        <v>211597</v>
      </c>
      <c r="W13" s="4" t="n">
        <v>214230</v>
      </c>
      <c r="X13" s="4" t="n">
        <v>216863</v>
      </c>
      <c r="Y13" s="4" t="n">
        <v>223129</v>
      </c>
      <c r="Z13" s="4" t="n">
        <v>225999</v>
      </c>
      <c r="AA13" s="4" t="n">
        <v>228869</v>
      </c>
      <c r="AB13" s="4" t="n">
        <v>231739</v>
      </c>
      <c r="AC13" s="4" t="n">
        <v>234783</v>
      </c>
      <c r="AD13" s="4" t="n">
        <v>237827</v>
      </c>
      <c r="AE13" s="4" t="n">
        <v>244915</v>
      </c>
      <c r="AF13" s="4" t="n">
        <v>247959</v>
      </c>
      <c r="AG13" s="4" t="n">
        <v>251003</v>
      </c>
      <c r="AH13" s="4" t="n">
        <v>254238</v>
      </c>
      <c r="AI13" s="4" t="n">
        <v>257473</v>
      </c>
      <c r="AJ13" s="4" t="n">
        <v>260708</v>
      </c>
      <c r="AK13" s="4" t="n">
        <v>268178</v>
      </c>
    </row>
    <row r="14">
      <c r="A14" s="2" t="inlineStr">
        <is>
          <t>Debiti verso banche</t>
        </is>
      </c>
      <c r="B14" s="4" t="n">
        <v>75000</v>
      </c>
      <c r="C14" s="4" t="n">
        <v>75000</v>
      </c>
      <c r="D14" s="4" t="n">
        <v>213750</v>
      </c>
      <c r="E14" s="4" t="n">
        <v>213750</v>
      </c>
      <c r="F14" s="4" t="n">
        <v>213750</v>
      </c>
      <c r="G14" s="4" t="n">
        <v>202500</v>
      </c>
      <c r="H14" s="4" t="n">
        <v>202500</v>
      </c>
      <c r="I14" s="4" t="n">
        <v>202500</v>
      </c>
      <c r="J14" s="4" t="n">
        <v>191250</v>
      </c>
      <c r="K14" s="4" t="n">
        <v>191250</v>
      </c>
      <c r="L14" s="4" t="n">
        <v>191250</v>
      </c>
      <c r="M14" s="4" t="n">
        <v>180000</v>
      </c>
      <c r="N14" s="4" t="n">
        <v>180000</v>
      </c>
      <c r="O14" s="4" t="n">
        <v>180000</v>
      </c>
      <c r="P14" s="4" t="n">
        <v>159375</v>
      </c>
      <c r="Q14" s="4" t="n">
        <v>159375</v>
      </c>
      <c r="R14" s="4" t="n">
        <v>159375</v>
      </c>
      <c r="S14" s="4" t="n">
        <v>138750</v>
      </c>
      <c r="T14" s="4" t="n">
        <v>138750</v>
      </c>
      <c r="U14" s="4" t="n">
        <v>138750</v>
      </c>
      <c r="V14" s="4" t="n">
        <v>121875</v>
      </c>
      <c r="W14" s="4" t="n">
        <v>121875</v>
      </c>
      <c r="X14" s="4" t="n">
        <v>121875</v>
      </c>
      <c r="Y14" s="4" t="n">
        <v>112500</v>
      </c>
      <c r="Z14" s="4" t="n">
        <v>112500</v>
      </c>
      <c r="AA14" s="4" t="n">
        <v>112500</v>
      </c>
      <c r="AB14" s="4" t="n">
        <v>103125</v>
      </c>
      <c r="AC14" s="4" t="n">
        <v>103125</v>
      </c>
      <c r="AD14" s="4" t="n">
        <v>103125</v>
      </c>
      <c r="AE14" s="4" t="n">
        <v>93750</v>
      </c>
      <c r="AF14" s="4" t="n">
        <v>93750</v>
      </c>
      <c r="AG14" s="4" t="n">
        <v>93750</v>
      </c>
      <c r="AH14" s="4" t="n">
        <v>84375</v>
      </c>
      <c r="AI14" s="4" t="n">
        <v>84375</v>
      </c>
      <c r="AJ14" s="4" t="n">
        <v>84375</v>
      </c>
      <c r="AK14" s="4" t="n">
        <v>75000</v>
      </c>
    </row>
    <row r="15">
      <c r="A15" s="2" t="inlineStr">
        <is>
          <t>Debiti verso fornitori</t>
        </is>
      </c>
      <c r="B15" s="4" t="n">
        <v>58553</v>
      </c>
      <c r="C15" s="4" t="n">
        <v>58946</v>
      </c>
      <c r="D15" s="4" t="n">
        <v>59638</v>
      </c>
      <c r="E15" s="4" t="n">
        <v>60489</v>
      </c>
      <c r="F15" s="4" t="n">
        <v>61377</v>
      </c>
      <c r="G15" s="4" t="n">
        <v>62458</v>
      </c>
      <c r="H15" s="4" t="n">
        <v>63013</v>
      </c>
      <c r="I15" s="4" t="n">
        <v>63406</v>
      </c>
      <c r="J15" s="4" t="n">
        <v>64279</v>
      </c>
      <c r="K15" s="4" t="n">
        <v>65335</v>
      </c>
      <c r="L15" s="4" t="n">
        <v>66323</v>
      </c>
      <c r="M15" s="4" t="n">
        <v>68020</v>
      </c>
      <c r="N15" s="4" t="n">
        <v>68537</v>
      </c>
      <c r="O15" s="4" t="n">
        <v>69123</v>
      </c>
      <c r="P15" s="4" t="n">
        <v>69853</v>
      </c>
      <c r="Q15" s="4" t="n">
        <v>70583</v>
      </c>
      <c r="R15" s="4" t="n">
        <v>71341</v>
      </c>
      <c r="S15" s="4" t="n">
        <v>72079</v>
      </c>
      <c r="T15" s="4" t="n">
        <v>72744</v>
      </c>
      <c r="U15" s="4" t="n">
        <v>73211</v>
      </c>
      <c r="V15" s="4" t="n">
        <v>74003</v>
      </c>
      <c r="W15" s="4" t="n">
        <v>74902</v>
      </c>
      <c r="X15" s="4" t="n">
        <v>75751</v>
      </c>
      <c r="Y15" s="4" t="n">
        <v>76687</v>
      </c>
      <c r="Z15" s="4" t="n">
        <v>77261</v>
      </c>
      <c r="AA15" s="4" t="n">
        <v>77905</v>
      </c>
      <c r="AB15" s="4" t="n">
        <v>78693</v>
      </c>
      <c r="AC15" s="4" t="n">
        <v>79483</v>
      </c>
      <c r="AD15" s="4" t="n">
        <v>80307</v>
      </c>
      <c r="AE15" s="4" t="n">
        <v>81121</v>
      </c>
      <c r="AF15" s="4" t="n">
        <v>81864</v>
      </c>
      <c r="AG15" s="4" t="n">
        <v>82395</v>
      </c>
      <c r="AH15" s="4" t="n">
        <v>83261</v>
      </c>
      <c r="AI15" s="4" t="n">
        <v>84240</v>
      </c>
      <c r="AJ15" s="4" t="n">
        <v>85175</v>
      </c>
      <c r="AK15" s="4" t="n">
        <v>86222</v>
      </c>
    </row>
    <row r="16">
      <c r="A16" s="2" t="inlineStr">
        <is>
          <t>Debiti tributari</t>
        </is>
      </c>
      <c r="B16" s="4" t="n">
        <v>49791</v>
      </c>
      <c r="C16" s="4" t="n">
        <v>55534</v>
      </c>
      <c r="D16" s="4" t="n">
        <v>64174</v>
      </c>
      <c r="E16" s="4" t="n">
        <v>72165</v>
      </c>
      <c r="F16" s="4" t="n">
        <v>82922</v>
      </c>
      <c r="G16" s="4" t="n">
        <v>52070</v>
      </c>
      <c r="H16" s="4" t="n">
        <v>51349</v>
      </c>
      <c r="I16" s="4" t="n">
        <v>51379</v>
      </c>
      <c r="J16" s="4" t="n">
        <v>61874</v>
      </c>
      <c r="K16" s="4" t="n">
        <v>74700</v>
      </c>
      <c r="L16" s="4" t="n">
        <v>52832</v>
      </c>
      <c r="M16" s="4" t="n">
        <v>68972</v>
      </c>
      <c r="N16" s="4" t="n">
        <v>64678</v>
      </c>
      <c r="O16" s="4" t="n">
        <v>70744</v>
      </c>
      <c r="P16" s="4" t="n">
        <v>80005</v>
      </c>
      <c r="Q16" s="4" t="n">
        <v>88778</v>
      </c>
      <c r="R16" s="4" t="n">
        <v>100371</v>
      </c>
      <c r="S16" s="4" t="n">
        <v>50675</v>
      </c>
      <c r="T16" s="4" t="n">
        <v>48525</v>
      </c>
      <c r="U16" s="4" t="n">
        <v>48701</v>
      </c>
      <c r="V16" s="4" t="n">
        <v>59955</v>
      </c>
      <c r="W16" s="4" t="n">
        <v>74661</v>
      </c>
      <c r="X16" s="4" t="n">
        <v>38451</v>
      </c>
      <c r="Y16" s="4" t="n">
        <v>57709</v>
      </c>
      <c r="Z16" s="4" t="n">
        <v>51244</v>
      </c>
      <c r="AA16" s="4" t="n">
        <v>57555</v>
      </c>
      <c r="AB16" s="4" t="n">
        <v>68364</v>
      </c>
      <c r="AC16" s="4" t="n">
        <v>78129</v>
      </c>
      <c r="AD16" s="4" t="n">
        <v>91029</v>
      </c>
      <c r="AE16" s="4" t="n">
        <v>57724</v>
      </c>
      <c r="AF16" s="4" t="n">
        <v>55243</v>
      </c>
      <c r="AG16" s="4" t="n">
        <v>55444</v>
      </c>
      <c r="AH16" s="4" t="n">
        <v>68672</v>
      </c>
      <c r="AI16" s="4" t="n">
        <v>85901</v>
      </c>
      <c r="AJ16" s="4" t="n">
        <v>46527</v>
      </c>
      <c r="AK16" s="4" t="n">
        <v>69171</v>
      </c>
    </row>
    <row r="17">
      <c r="A17" s="2" t="inlineStr">
        <is>
          <t>Debiti previdenziali</t>
        </is>
      </c>
      <c r="B17" s="4" t="n">
        <v>7845</v>
      </c>
      <c r="C17" s="4" t="n">
        <v>8183</v>
      </c>
      <c r="D17" s="4" t="n">
        <v>8183</v>
      </c>
      <c r="E17" s="4" t="n">
        <v>8183</v>
      </c>
      <c r="F17" s="4" t="n">
        <v>8183</v>
      </c>
      <c r="G17" s="4" t="n">
        <v>16366</v>
      </c>
      <c r="H17" s="4" t="n">
        <v>8183</v>
      </c>
      <c r="I17" s="4" t="n">
        <v>8183</v>
      </c>
      <c r="J17" s="4" t="n">
        <v>8630</v>
      </c>
      <c r="K17" s="4" t="n">
        <v>9001</v>
      </c>
      <c r="L17" s="4" t="n">
        <v>9001</v>
      </c>
      <c r="M17" s="4" t="n">
        <v>18003</v>
      </c>
      <c r="N17" s="4" t="n">
        <v>9226</v>
      </c>
      <c r="O17" s="4" t="n">
        <v>9724</v>
      </c>
      <c r="P17" s="4" t="n">
        <v>9724</v>
      </c>
      <c r="Q17" s="4" t="n">
        <v>9724</v>
      </c>
      <c r="R17" s="4" t="n">
        <v>10065</v>
      </c>
      <c r="S17" s="4" t="n">
        <v>20130</v>
      </c>
      <c r="T17" s="4" t="n">
        <v>10065</v>
      </c>
      <c r="U17" s="4" t="n">
        <v>10065</v>
      </c>
      <c r="V17" s="4" t="n">
        <v>10445</v>
      </c>
      <c r="W17" s="4" t="n">
        <v>10445</v>
      </c>
      <c r="X17" s="4" t="n">
        <v>10445</v>
      </c>
      <c r="Y17" s="4" t="n">
        <v>20891</v>
      </c>
      <c r="Z17" s="4" t="n">
        <v>11126</v>
      </c>
      <c r="AA17" s="4" t="n">
        <v>11126</v>
      </c>
      <c r="AB17" s="4" t="n">
        <v>11126</v>
      </c>
      <c r="AC17" s="4" t="n">
        <v>11626</v>
      </c>
      <c r="AD17" s="4" t="n">
        <v>11626</v>
      </c>
      <c r="AE17" s="4" t="n">
        <v>23252</v>
      </c>
      <c r="AF17" s="4" t="n">
        <v>11626</v>
      </c>
      <c r="AG17" s="4" t="n">
        <v>11626</v>
      </c>
      <c r="AH17" s="4" t="n">
        <v>12176</v>
      </c>
      <c r="AI17" s="4" t="n">
        <v>12176</v>
      </c>
      <c r="AJ17" s="4" t="n">
        <v>12176</v>
      </c>
      <c r="AK17" s="4" t="n">
        <v>24352</v>
      </c>
    </row>
    <row r="18">
      <c r="A18" s="2" t="inlineStr">
        <is>
          <t>Altri debiti</t>
        </is>
      </c>
      <c r="B18" s="4" t="n">
        <v>23195</v>
      </c>
      <c r="C18" s="4" t="n">
        <v>24194</v>
      </c>
      <c r="D18" s="4" t="n">
        <v>24194</v>
      </c>
      <c r="E18" s="4" t="n">
        <v>24194</v>
      </c>
      <c r="F18" s="4" t="n">
        <v>24194</v>
      </c>
      <c r="G18" s="4" t="n">
        <v>48387</v>
      </c>
      <c r="H18" s="4" t="n">
        <v>24194</v>
      </c>
      <c r="I18" s="4" t="n">
        <v>24194</v>
      </c>
      <c r="J18" s="4" t="n">
        <v>25516</v>
      </c>
      <c r="K18" s="4" t="n">
        <v>26613</v>
      </c>
      <c r="L18" s="4" t="n">
        <v>26613</v>
      </c>
      <c r="M18" s="4" t="n">
        <v>53226</v>
      </c>
      <c r="N18" s="4" t="n">
        <v>27278</v>
      </c>
      <c r="O18" s="4" t="n">
        <v>28749</v>
      </c>
      <c r="P18" s="4" t="n">
        <v>28749</v>
      </c>
      <c r="Q18" s="4" t="n">
        <v>28749</v>
      </c>
      <c r="R18" s="4" t="n">
        <v>29758</v>
      </c>
      <c r="S18" s="4" t="n">
        <v>59515</v>
      </c>
      <c r="T18" s="4" t="n">
        <v>29758</v>
      </c>
      <c r="U18" s="4" t="n">
        <v>29758</v>
      </c>
      <c r="V18" s="4" t="n">
        <v>30882</v>
      </c>
      <c r="W18" s="4" t="n">
        <v>30882</v>
      </c>
      <c r="X18" s="4" t="n">
        <v>30882</v>
      </c>
      <c r="Y18" s="4" t="n">
        <v>61764</v>
      </c>
      <c r="Z18" s="4" t="n">
        <v>32895</v>
      </c>
      <c r="AA18" s="4" t="n">
        <v>32895</v>
      </c>
      <c r="AB18" s="4" t="n">
        <v>32895</v>
      </c>
      <c r="AC18" s="4" t="n">
        <v>34373</v>
      </c>
      <c r="AD18" s="4" t="n">
        <v>34373</v>
      </c>
      <c r="AE18" s="4" t="n">
        <v>68746</v>
      </c>
      <c r="AF18" s="4" t="n">
        <v>34373</v>
      </c>
      <c r="AG18" s="4" t="n">
        <v>34373</v>
      </c>
      <c r="AH18" s="4" t="n">
        <v>35999</v>
      </c>
      <c r="AI18" s="4" t="n">
        <v>35999</v>
      </c>
      <c r="AJ18" s="4" t="n">
        <v>35999</v>
      </c>
      <c r="AK18" s="4" t="n">
        <v>71997</v>
      </c>
    </row>
    <row r="19">
      <c r="A19" s="2" t="inlineStr">
        <is>
          <t>Ratei e risconti passivi</t>
        </is>
      </c>
      <c r="B19" s="4" t="n">
        <v>5316</v>
      </c>
      <c r="C19" s="4" t="n">
        <v>5334</v>
      </c>
      <c r="D19" s="4" t="n">
        <v>5371</v>
      </c>
      <c r="E19" s="4" t="n">
        <v>5406</v>
      </c>
      <c r="F19" s="4" t="n">
        <v>5460</v>
      </c>
      <c r="G19" s="4" t="n">
        <v>5525</v>
      </c>
      <c r="H19" s="4" t="n">
        <v>5583</v>
      </c>
      <c r="I19" s="4" t="n">
        <v>5589</v>
      </c>
      <c r="J19" s="4" t="n">
        <v>5656</v>
      </c>
      <c r="K19" s="4" t="n">
        <v>5732</v>
      </c>
      <c r="L19" s="4" t="n">
        <v>5808</v>
      </c>
      <c r="M19" s="4" t="n">
        <v>5933</v>
      </c>
      <c r="N19" s="4" t="n">
        <v>5971</v>
      </c>
      <c r="O19" s="4" t="n">
        <v>6012</v>
      </c>
      <c r="P19" s="4" t="n">
        <v>6061</v>
      </c>
      <c r="Q19" s="4" t="n">
        <v>6109</v>
      </c>
      <c r="R19" s="4" t="n">
        <v>6162</v>
      </c>
      <c r="S19" s="4" t="n">
        <v>6218</v>
      </c>
      <c r="T19" s="4" t="n">
        <v>6272</v>
      </c>
      <c r="U19" s="4" t="n">
        <v>6307</v>
      </c>
      <c r="V19" s="4" t="n">
        <v>6362</v>
      </c>
      <c r="W19" s="4" t="n">
        <v>6424</v>
      </c>
      <c r="X19" s="4" t="n">
        <v>6486</v>
      </c>
      <c r="Y19" s="4" t="n">
        <v>6566</v>
      </c>
      <c r="Z19" s="4" t="n">
        <v>6607</v>
      </c>
      <c r="AA19" s="4" t="n">
        <v>6652</v>
      </c>
      <c r="AB19" s="4" t="n">
        <v>6704</v>
      </c>
      <c r="AC19" s="4" t="n">
        <v>6756</v>
      </c>
      <c r="AD19" s="4" t="n">
        <v>6813</v>
      </c>
      <c r="AE19" s="4" t="n">
        <v>6875</v>
      </c>
      <c r="AF19" s="4" t="n">
        <v>6933</v>
      </c>
      <c r="AG19" s="4" t="n">
        <v>6971</v>
      </c>
      <c r="AH19" s="4" t="n">
        <v>7032</v>
      </c>
      <c r="AI19" s="4" t="n">
        <v>7100</v>
      </c>
      <c r="AJ19" s="4" t="n">
        <v>7168</v>
      </c>
      <c r="AK19" s="4" t="n">
        <v>7256</v>
      </c>
    </row>
    <row r="20">
      <c r="A20" s="2" t="inlineStr">
        <is>
          <t>TOTALE PASSIVO</t>
        </is>
      </c>
      <c r="B20" s="4" t="n">
        <v>940172</v>
      </c>
      <c r="C20" s="4" t="n">
        <v>962805</v>
      </c>
      <c r="D20" s="4" t="n">
        <v>1134636</v>
      </c>
      <c r="E20" s="4" t="n">
        <v>1165413</v>
      </c>
      <c r="F20" s="4" t="n">
        <v>1206143</v>
      </c>
      <c r="G20" s="4" t="n">
        <v>1089991</v>
      </c>
      <c r="H20" s="4" t="n">
        <v>1089624</v>
      </c>
      <c r="I20" s="4" t="n">
        <v>1089537</v>
      </c>
      <c r="J20" s="4" t="n">
        <v>1118270</v>
      </c>
      <c r="K20" s="4" t="n">
        <v>1166899</v>
      </c>
      <c r="L20" s="4" t="n">
        <v>1181103</v>
      </c>
      <c r="M20" s="4" t="n">
        <v>1272150</v>
      </c>
      <c r="N20" s="4" t="n">
        <v>1246467</v>
      </c>
      <c r="O20" s="4" t="n">
        <v>1270649</v>
      </c>
      <c r="P20" s="4" t="n">
        <v>1285608</v>
      </c>
      <c r="Q20" s="4" t="n">
        <v>1319418</v>
      </c>
      <c r="R20" s="4" t="n">
        <v>1363818</v>
      </c>
      <c r="S20" s="4" t="n">
        <v>1235639</v>
      </c>
      <c r="T20" s="4" t="n">
        <v>1229020</v>
      </c>
      <c r="U20" s="4" t="n">
        <v>1225492</v>
      </c>
      <c r="V20" s="4" t="n">
        <v>1251916</v>
      </c>
      <c r="W20" s="4" t="n">
        <v>1307617</v>
      </c>
      <c r="X20" s="4" t="n">
        <v>1314675</v>
      </c>
      <c r="Y20" s="4" t="n">
        <v>1427541</v>
      </c>
      <c r="Z20" s="4" t="n">
        <v>1394498</v>
      </c>
      <c r="AA20" s="4" t="n">
        <v>1419703</v>
      </c>
      <c r="AB20" s="4" t="n">
        <v>1451987</v>
      </c>
      <c r="AC20" s="4" t="n">
        <v>1490285</v>
      </c>
      <c r="AD20" s="4" t="n">
        <v>1539711</v>
      </c>
      <c r="AE20" s="4" t="n">
        <v>1436937</v>
      </c>
      <c r="AF20" s="4" t="n">
        <v>1429796</v>
      </c>
      <c r="AG20" s="4" t="n">
        <v>1426344</v>
      </c>
      <c r="AH20" s="4" t="n">
        <v>1468081</v>
      </c>
      <c r="AI20" s="4" t="n">
        <v>1533479</v>
      </c>
      <c r="AJ20" s="4" t="n">
        <v>1545109</v>
      </c>
      <c r="AK20" s="4" t="n">
        <v>1677689</v>
      </c>
    </row>
  </sheetData>
  <autoFilter ref="A1:AK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6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32" customHeight="1">
      <c r="A1" s="1" t="inlineStr">
        <is>
          <t>Voce</t>
        </is>
      </c>
      <c r="B1" s="1" t="inlineStr">
        <is>
          <t>Gen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Mag 2026</t>
        </is>
      </c>
      <c r="G1" s="1" t="inlineStr">
        <is>
          <t>Giu 2026</t>
        </is>
      </c>
      <c r="H1" s="1" t="inlineStr">
        <is>
          <t>Lug 2026</t>
        </is>
      </c>
      <c r="I1" s="1" t="inlineStr">
        <is>
          <t>Ago 2026</t>
        </is>
      </c>
      <c r="J1" s="1" t="inlineStr">
        <is>
          <t>Set 2026</t>
        </is>
      </c>
      <c r="K1" s="1" t="inlineStr">
        <is>
          <t>Ott 2026</t>
        </is>
      </c>
      <c r="L1" s="1" t="inlineStr">
        <is>
          <t>Nov 2026</t>
        </is>
      </c>
      <c r="M1" s="1" t="inlineStr">
        <is>
          <t>Dic 2026</t>
        </is>
      </c>
      <c r="N1" s="1" t="inlineStr">
        <is>
          <t>Gen 2027</t>
        </is>
      </c>
      <c r="O1" s="1" t="inlineStr">
        <is>
          <t>Feb 2027</t>
        </is>
      </c>
      <c r="P1" s="1" t="inlineStr">
        <is>
          <t>Mar 2027</t>
        </is>
      </c>
      <c r="Q1" s="1" t="inlineStr">
        <is>
          <t>Apr 2027</t>
        </is>
      </c>
      <c r="R1" s="1" t="inlineStr">
        <is>
          <t>Mag 2027</t>
        </is>
      </c>
      <c r="S1" s="1" t="inlineStr">
        <is>
          <t>Giu 2027</t>
        </is>
      </c>
      <c r="T1" s="1" t="inlineStr">
        <is>
          <t>Lug 2027</t>
        </is>
      </c>
      <c r="U1" s="1" t="inlineStr">
        <is>
          <t>Ago 2027</t>
        </is>
      </c>
      <c r="V1" s="1" t="inlineStr">
        <is>
          <t>Set 2027</t>
        </is>
      </c>
      <c r="W1" s="1" t="inlineStr">
        <is>
          <t>Ott 2027</t>
        </is>
      </c>
      <c r="X1" s="1" t="inlineStr">
        <is>
          <t>Nov 2027</t>
        </is>
      </c>
      <c r="Y1" s="1" t="inlineStr">
        <is>
          <t>Dic 2027</t>
        </is>
      </c>
      <c r="Z1" s="1" t="inlineStr">
        <is>
          <t>Gen 2028</t>
        </is>
      </c>
      <c r="AA1" s="1" t="inlineStr">
        <is>
          <t>Feb 2028</t>
        </is>
      </c>
      <c r="AB1" s="1" t="inlineStr">
        <is>
          <t>Mar 2028</t>
        </is>
      </c>
      <c r="AC1" s="1" t="inlineStr">
        <is>
          <t>Apr 2028</t>
        </is>
      </c>
      <c r="AD1" s="1" t="inlineStr">
        <is>
          <t>Mag 2028</t>
        </is>
      </c>
      <c r="AE1" s="1" t="inlineStr">
        <is>
          <t>Giu 2028</t>
        </is>
      </c>
      <c r="AF1" s="1" t="inlineStr">
        <is>
          <t>Lug 2028</t>
        </is>
      </c>
      <c r="AG1" s="1" t="inlineStr">
        <is>
          <t>Ago 2028</t>
        </is>
      </c>
      <c r="AH1" s="1" t="inlineStr">
        <is>
          <t>Set 2028</t>
        </is>
      </c>
      <c r="AI1" s="1" t="inlineStr">
        <is>
          <t>Ott 2028</t>
        </is>
      </c>
      <c r="AJ1" s="1" t="inlineStr">
        <is>
          <t>Nov 2028</t>
        </is>
      </c>
      <c r="AK1" s="1" t="inlineStr">
        <is>
          <t>Dic 2028</t>
        </is>
      </c>
    </row>
    <row r="2">
      <c r="A2" s="2" t="inlineStr">
        <is>
          <t>Utile netto</t>
        </is>
      </c>
      <c r="B2" s="4" t="n">
        <v>10587</v>
      </c>
      <c r="C2" s="4" t="n">
        <v>13296</v>
      </c>
      <c r="D2" s="4" t="n">
        <v>21866</v>
      </c>
      <c r="E2" s="4" t="n">
        <v>20054</v>
      </c>
      <c r="F2" s="4" t="n">
        <v>27185</v>
      </c>
      <c r="G2" s="4" t="n">
        <v>-22265</v>
      </c>
      <c r="H2" s="4" t="n">
        <v>30271</v>
      </c>
      <c r="I2" s="4" t="n">
        <v>-2362</v>
      </c>
      <c r="J2" s="4" t="n">
        <v>24777</v>
      </c>
      <c r="K2" s="4" t="n">
        <v>31072</v>
      </c>
      <c r="L2" s="4" t="n">
        <v>32877</v>
      </c>
      <c r="M2" s="4" t="n">
        <v>43458</v>
      </c>
      <c r="N2" s="4" t="n">
        <v>10572</v>
      </c>
      <c r="O2" s="4" t="n">
        <v>13138</v>
      </c>
      <c r="P2" s="4" t="n">
        <v>23162</v>
      </c>
      <c r="Q2" s="4" t="n">
        <v>21877</v>
      </c>
      <c r="R2" s="4" t="n">
        <v>28145</v>
      </c>
      <c r="S2" s="4" t="n">
        <v>-35231</v>
      </c>
      <c r="T2" s="4" t="n">
        <v>32133</v>
      </c>
      <c r="U2" s="4" t="n">
        <v>-6707</v>
      </c>
      <c r="V2" s="4" t="n">
        <v>27061</v>
      </c>
      <c r="W2" s="4" t="n">
        <v>37401</v>
      </c>
      <c r="X2" s="4" t="n">
        <v>39724</v>
      </c>
      <c r="Y2" s="4" t="n">
        <v>54373</v>
      </c>
      <c r="Z2" s="4" t="n">
        <v>8571</v>
      </c>
      <c r="AA2" s="4" t="n">
        <v>15335</v>
      </c>
      <c r="AB2" s="4" t="n">
        <v>27140</v>
      </c>
      <c r="AC2" s="4" t="n">
        <v>22669</v>
      </c>
      <c r="AD2" s="4" t="n">
        <v>32601</v>
      </c>
      <c r="AE2" s="4" t="n">
        <v>-40363</v>
      </c>
      <c r="AF2" s="4" t="n">
        <v>37494</v>
      </c>
      <c r="AG2" s="4" t="n">
        <v>-7266</v>
      </c>
      <c r="AH2" s="4" t="n">
        <v>31546</v>
      </c>
      <c r="AI2" s="4" t="n">
        <v>43887</v>
      </c>
      <c r="AJ2" s="4" t="n">
        <v>46766</v>
      </c>
      <c r="AK2" s="4" t="n">
        <v>62532</v>
      </c>
    </row>
    <row r="3">
      <c r="A3" s="2" t="inlineStr">
        <is>
          <t>Ammortamenti</t>
        </is>
      </c>
      <c r="B3" s="4" t="n">
        <v>6025</v>
      </c>
      <c r="C3" s="4" t="n">
        <v>6254</v>
      </c>
      <c r="D3" s="4" t="n">
        <v>6483</v>
      </c>
      <c r="E3" s="4" t="n">
        <v>6744</v>
      </c>
      <c r="F3" s="4" t="n">
        <v>6985</v>
      </c>
      <c r="G3" s="4" t="n">
        <v>7223</v>
      </c>
      <c r="H3" s="4" t="n">
        <v>7453</v>
      </c>
      <c r="I3" s="4" t="n">
        <v>7682</v>
      </c>
      <c r="J3" s="4" t="n">
        <v>7845</v>
      </c>
      <c r="K3" s="4" t="n">
        <v>8174</v>
      </c>
      <c r="L3" s="4" t="n">
        <v>8486</v>
      </c>
      <c r="M3" s="4" t="n">
        <v>8722</v>
      </c>
      <c r="N3" s="4" t="n">
        <v>7864</v>
      </c>
      <c r="O3" s="4" t="n">
        <v>8119</v>
      </c>
      <c r="P3" s="4" t="n">
        <v>8373</v>
      </c>
      <c r="Q3" s="4" t="n">
        <v>8662</v>
      </c>
      <c r="R3" s="4" t="n">
        <v>8932</v>
      </c>
      <c r="S3" s="4" t="n">
        <v>9194</v>
      </c>
      <c r="T3" s="4" t="n">
        <v>9451</v>
      </c>
      <c r="U3" s="4" t="n">
        <v>9704</v>
      </c>
      <c r="V3" s="4" t="n">
        <v>9891</v>
      </c>
      <c r="W3" s="4" t="n">
        <v>10249</v>
      </c>
      <c r="X3" s="4" t="n">
        <v>10587</v>
      </c>
      <c r="Y3" s="4" t="n">
        <v>10849</v>
      </c>
      <c r="Z3" s="4" t="n">
        <v>10069</v>
      </c>
      <c r="AA3" s="4" t="n">
        <v>10354</v>
      </c>
      <c r="AB3" s="4" t="n">
        <v>10637</v>
      </c>
      <c r="AC3" s="4" t="n">
        <v>10951</v>
      </c>
      <c r="AD3" s="4" t="n">
        <v>11248</v>
      </c>
      <c r="AE3" s="4" t="n">
        <v>11539</v>
      </c>
      <c r="AF3" s="4" t="n">
        <v>11825</v>
      </c>
      <c r="AG3" s="4" t="n">
        <v>12109</v>
      </c>
      <c r="AH3" s="4" t="n">
        <v>12321</v>
      </c>
      <c r="AI3" s="4" t="n">
        <v>12708</v>
      </c>
      <c r="AJ3" s="4" t="n">
        <v>13081</v>
      </c>
      <c r="AK3" s="4" t="n">
        <v>13371</v>
      </c>
    </row>
    <row r="4">
      <c r="A4" s="2" t="inlineStr">
        <is>
          <t>Variazione TFR</t>
        </is>
      </c>
      <c r="B4" s="4" t="n">
        <v>1729</v>
      </c>
      <c r="C4" s="4" t="n">
        <v>1846</v>
      </c>
      <c r="D4" s="4" t="n">
        <v>1846</v>
      </c>
      <c r="E4" s="4" t="n">
        <v>1846</v>
      </c>
      <c r="F4" s="4" t="n">
        <v>1846</v>
      </c>
      <c r="G4" s="4" t="n">
        <v>4693</v>
      </c>
      <c r="H4" s="4" t="n">
        <v>1846</v>
      </c>
      <c r="I4" s="4" t="n">
        <v>1846</v>
      </c>
      <c r="J4" s="4" t="n">
        <v>2002</v>
      </c>
      <c r="K4" s="4" t="n">
        <v>2131</v>
      </c>
      <c r="L4" s="4" t="n">
        <v>2131</v>
      </c>
      <c r="M4" s="4" t="n">
        <v>5262</v>
      </c>
      <c r="N4" s="4" t="n">
        <v>2209</v>
      </c>
      <c r="O4" s="4" t="n">
        <v>2382</v>
      </c>
      <c r="P4" s="4" t="n">
        <v>2382</v>
      </c>
      <c r="Q4" s="4" t="n">
        <v>2382</v>
      </c>
      <c r="R4" s="4" t="n">
        <v>2501</v>
      </c>
      <c r="S4" s="4" t="n">
        <v>6002</v>
      </c>
      <c r="T4" s="4" t="n">
        <v>2501</v>
      </c>
      <c r="U4" s="4" t="n">
        <v>2501</v>
      </c>
      <c r="V4" s="4" t="n">
        <v>2633</v>
      </c>
      <c r="W4" s="4" t="n">
        <v>2633</v>
      </c>
      <c r="X4" s="4" t="n">
        <v>2633</v>
      </c>
      <c r="Y4" s="4" t="n">
        <v>6266</v>
      </c>
      <c r="Z4" s="4" t="n">
        <v>2870</v>
      </c>
      <c r="AA4" s="4" t="n">
        <v>2870</v>
      </c>
      <c r="AB4" s="4" t="n">
        <v>2870</v>
      </c>
      <c r="AC4" s="4" t="n">
        <v>3044</v>
      </c>
      <c r="AD4" s="4" t="n">
        <v>3044</v>
      </c>
      <c r="AE4" s="4" t="n">
        <v>7088</v>
      </c>
      <c r="AF4" s="4" t="n">
        <v>3044</v>
      </c>
      <c r="AG4" s="4" t="n">
        <v>3044</v>
      </c>
      <c r="AH4" s="4" t="n">
        <v>3235</v>
      </c>
      <c r="AI4" s="4" t="n">
        <v>3235</v>
      </c>
      <c r="AJ4" s="4" t="n">
        <v>3235</v>
      </c>
      <c r="AK4" s="4" t="n">
        <v>7470</v>
      </c>
    </row>
    <row r="5">
      <c r="A5" s="2" t="inlineStr">
        <is>
          <t>Variazione lavori in corso</t>
        </is>
      </c>
      <c r="B5" s="4" t="n">
        <v>-723</v>
      </c>
      <c r="C5" s="4" t="n">
        <v>-372</v>
      </c>
      <c r="D5" s="4" t="n">
        <v>-734</v>
      </c>
      <c r="E5" s="4" t="n">
        <v>-724</v>
      </c>
      <c r="F5" s="4" t="n">
        <v>-1079</v>
      </c>
      <c r="G5" s="4" t="n">
        <v>-1326</v>
      </c>
      <c r="H5" s="4" t="n">
        <v>-1187</v>
      </c>
      <c r="I5" s="4" t="n">
        <v>-127</v>
      </c>
      <c r="J5" s="4" t="n">
        <v>-1384</v>
      </c>
      <c r="K5" s="4" t="n">
        <v>-1575</v>
      </c>
      <c r="L5" s="4" t="n">
        <v>-1583</v>
      </c>
      <c r="M5" s="4" t="n">
        <v>-2606</v>
      </c>
      <c r="N5" s="4" t="n">
        <v>-797</v>
      </c>
      <c r="O5" s="4" t="n">
        <v>-880</v>
      </c>
      <c r="P5" s="4" t="n">
        <v>-1028</v>
      </c>
      <c r="Q5" s="4" t="n">
        <v>-1029</v>
      </c>
      <c r="R5" s="4" t="n">
        <v>-1124</v>
      </c>
      <c r="S5" s="4" t="n">
        <v>-1214</v>
      </c>
      <c r="T5" s="4" t="n">
        <v>-1149</v>
      </c>
      <c r="U5" s="4" t="n">
        <v>-751</v>
      </c>
      <c r="V5" s="4" t="n">
        <v>-1197</v>
      </c>
      <c r="W5" s="4" t="n">
        <v>-1347</v>
      </c>
      <c r="X5" s="4" t="n">
        <v>-1363</v>
      </c>
      <c r="Y5" s="4" t="n">
        <v>-1751</v>
      </c>
      <c r="Z5" s="4" t="n">
        <v>-895</v>
      </c>
      <c r="AA5" s="4" t="n">
        <v>-990</v>
      </c>
      <c r="AB5" s="4" t="n">
        <v>-1159</v>
      </c>
      <c r="AC5" s="4" t="n">
        <v>-1163</v>
      </c>
      <c r="AD5" s="4" t="n">
        <v>-1274</v>
      </c>
      <c r="AE5" s="4" t="n">
        <v>-1378</v>
      </c>
      <c r="AF5" s="4" t="n">
        <v>-1308</v>
      </c>
      <c r="AG5" s="4" t="n">
        <v>-856</v>
      </c>
      <c r="AH5" s="4" t="n">
        <v>-1369</v>
      </c>
      <c r="AI5" s="4" t="n">
        <v>-1542</v>
      </c>
      <c r="AJ5" s="4" t="n">
        <v>-1564</v>
      </c>
      <c r="AK5" s="4" t="n">
        <v>-2012</v>
      </c>
    </row>
    <row r="6">
      <c r="A6" s="2" t="inlineStr">
        <is>
          <t>Variazione crediti verso clienti</t>
        </is>
      </c>
      <c r="B6" s="4" t="n">
        <v>9311</v>
      </c>
      <c r="C6" s="4" t="n">
        <v>-2080</v>
      </c>
      <c r="D6" s="4" t="n">
        <v>-4110</v>
      </c>
      <c r="E6" s="4" t="n">
        <v>-4048</v>
      </c>
      <c r="F6" s="4" t="n">
        <v>-6038</v>
      </c>
      <c r="G6" s="4" t="n">
        <v>-7423</v>
      </c>
      <c r="H6" s="4" t="n">
        <v>-6643</v>
      </c>
      <c r="I6" s="4" t="n">
        <v>-712</v>
      </c>
      <c r="J6" s="4" t="n">
        <v>-7741</v>
      </c>
      <c r="K6" s="4" t="n">
        <v>-8816</v>
      </c>
      <c r="L6" s="4" t="n">
        <v>-8860</v>
      </c>
      <c r="M6" s="4" t="n">
        <v>-14581</v>
      </c>
      <c r="N6" s="4" t="n">
        <v>26393</v>
      </c>
      <c r="O6" s="4" t="n">
        <v>-4618</v>
      </c>
      <c r="P6" s="4" t="n">
        <v>-5393</v>
      </c>
      <c r="Q6" s="4" t="n">
        <v>-5395</v>
      </c>
      <c r="R6" s="4" t="n">
        <v>-5898</v>
      </c>
      <c r="S6" s="4" t="n">
        <v>-6369</v>
      </c>
      <c r="T6" s="4" t="n">
        <v>-6029</v>
      </c>
      <c r="U6" s="4" t="n">
        <v>-3939</v>
      </c>
      <c r="V6" s="4" t="n">
        <v>-6282</v>
      </c>
      <c r="W6" s="4" t="n">
        <v>-7066</v>
      </c>
      <c r="X6" s="4" t="n">
        <v>-7152</v>
      </c>
      <c r="Y6" s="4" t="n">
        <v>-9184</v>
      </c>
      <c r="Z6" s="4" t="n">
        <v>25019</v>
      </c>
      <c r="AA6" s="4" t="n">
        <v>-4907</v>
      </c>
      <c r="AB6" s="4" t="n">
        <v>-5744</v>
      </c>
      <c r="AC6" s="4" t="n">
        <v>-5760</v>
      </c>
      <c r="AD6" s="4" t="n">
        <v>-6311</v>
      </c>
      <c r="AE6" s="4" t="n">
        <v>-6831</v>
      </c>
      <c r="AF6" s="4" t="n">
        <v>-6480</v>
      </c>
      <c r="AG6" s="4" t="n">
        <v>-4243</v>
      </c>
      <c r="AH6" s="4" t="n">
        <v>-6779</v>
      </c>
      <c r="AI6" s="4" t="n">
        <v>-7641</v>
      </c>
      <c r="AJ6" s="4" t="n">
        <v>-7749</v>
      </c>
      <c r="AK6" s="4" t="n">
        <v>-9971</v>
      </c>
    </row>
    <row r="7">
      <c r="A7" s="2" t="inlineStr">
        <is>
          <t>Variazione altri crediti e risconti</t>
        </is>
      </c>
      <c r="B7" s="4" t="n">
        <v>480</v>
      </c>
      <c r="C7" s="4" t="n">
        <v>-487</v>
      </c>
      <c r="D7" s="4" t="n">
        <v>-944</v>
      </c>
      <c r="E7" s="4" t="n">
        <v>23</v>
      </c>
      <c r="F7" s="4" t="n">
        <v>-191</v>
      </c>
      <c r="G7" s="4" t="n">
        <v>104</v>
      </c>
      <c r="H7" s="4" t="n">
        <v>2824</v>
      </c>
      <c r="I7" s="4" t="n">
        <v>3886</v>
      </c>
      <c r="J7" s="4" t="n">
        <v>66</v>
      </c>
      <c r="K7" s="4" t="n">
        <v>1688</v>
      </c>
      <c r="L7" s="4" t="n">
        <v>2629</v>
      </c>
      <c r="M7" s="4" t="n">
        <v>-36240</v>
      </c>
      <c r="N7" s="4" t="n">
        <v>1819</v>
      </c>
      <c r="O7" s="4" t="n">
        <v>-539</v>
      </c>
      <c r="P7" s="4" t="n">
        <v>-1030</v>
      </c>
      <c r="Q7" s="4" t="n">
        <v>15</v>
      </c>
      <c r="R7" s="4" t="n">
        <v>-207</v>
      </c>
      <c r="S7" s="4" t="n">
        <v>116</v>
      </c>
      <c r="T7" s="4" t="n">
        <v>2638</v>
      </c>
      <c r="U7" s="4" t="n">
        <v>3759</v>
      </c>
      <c r="V7" s="4" t="n">
        <v>-332</v>
      </c>
      <c r="W7" s="4" t="n">
        <v>1417</v>
      </c>
      <c r="X7" s="4" t="n">
        <v>2433</v>
      </c>
      <c r="Y7" s="4" t="n">
        <v>-44482</v>
      </c>
      <c r="Z7" s="4" t="n">
        <v>2026</v>
      </c>
      <c r="AA7" s="4" t="n">
        <v>-580</v>
      </c>
      <c r="AB7" s="4" t="n">
        <v>-1101</v>
      </c>
      <c r="AC7" s="4" t="n">
        <v>8</v>
      </c>
      <c r="AD7" s="4" t="n">
        <v>-228</v>
      </c>
      <c r="AE7" s="4" t="n">
        <v>113</v>
      </c>
      <c r="AF7" s="4" t="n">
        <v>3106</v>
      </c>
      <c r="AG7" s="4" t="n">
        <v>4308</v>
      </c>
      <c r="AH7" s="4" t="n">
        <v>-55</v>
      </c>
      <c r="AI7" s="4" t="n">
        <v>1810</v>
      </c>
      <c r="AJ7" s="4" t="n">
        <v>2887</v>
      </c>
      <c r="AK7" s="4" t="n">
        <v>-50096</v>
      </c>
    </row>
    <row r="8">
      <c r="A8" s="2" t="inlineStr">
        <is>
          <t>Variazione debiti verso fornitori</t>
        </is>
      </c>
      <c r="B8" s="4" t="n">
        <v>937</v>
      </c>
      <c r="C8" s="4" t="n">
        <v>393</v>
      </c>
      <c r="D8" s="4" t="n">
        <v>692</v>
      </c>
      <c r="E8" s="4" t="n">
        <v>851</v>
      </c>
      <c r="F8" s="4" t="n">
        <v>888</v>
      </c>
      <c r="G8" s="4" t="n">
        <v>1081</v>
      </c>
      <c r="H8" s="4" t="n">
        <v>555</v>
      </c>
      <c r="I8" s="4" t="n">
        <v>393</v>
      </c>
      <c r="J8" s="4" t="n">
        <v>873</v>
      </c>
      <c r="K8" s="4" t="n">
        <v>1056</v>
      </c>
      <c r="L8" s="4" t="n">
        <v>988</v>
      </c>
      <c r="M8" s="4" t="n">
        <v>1697</v>
      </c>
      <c r="N8" s="4" t="n">
        <v>517</v>
      </c>
      <c r="O8" s="4" t="n">
        <v>586</v>
      </c>
      <c r="P8" s="4" t="n">
        <v>730</v>
      </c>
      <c r="Q8" s="4" t="n">
        <v>730</v>
      </c>
      <c r="R8" s="4" t="n">
        <v>758</v>
      </c>
      <c r="S8" s="4" t="n">
        <v>738</v>
      </c>
      <c r="T8" s="4" t="n">
        <v>665</v>
      </c>
      <c r="U8" s="4" t="n">
        <v>467</v>
      </c>
      <c r="V8" s="4" t="n">
        <v>792</v>
      </c>
      <c r="W8" s="4" t="n">
        <v>899</v>
      </c>
      <c r="X8" s="4" t="n">
        <v>849</v>
      </c>
      <c r="Y8" s="4" t="n">
        <v>936</v>
      </c>
      <c r="Z8" s="4" t="n">
        <v>574</v>
      </c>
      <c r="AA8" s="4" t="n">
        <v>644</v>
      </c>
      <c r="AB8" s="4" t="n">
        <v>788</v>
      </c>
      <c r="AC8" s="4" t="n">
        <v>790</v>
      </c>
      <c r="AD8" s="4" t="n">
        <v>824</v>
      </c>
      <c r="AE8" s="4" t="n">
        <v>814</v>
      </c>
      <c r="AF8" s="4" t="n">
        <v>743</v>
      </c>
      <c r="AG8" s="4" t="n">
        <v>531</v>
      </c>
      <c r="AH8" s="4" t="n">
        <v>866</v>
      </c>
      <c r="AI8" s="4" t="n">
        <v>979</v>
      </c>
      <c r="AJ8" s="4" t="n">
        <v>935</v>
      </c>
      <c r="AK8" s="4" t="n">
        <v>1047</v>
      </c>
    </row>
    <row r="9">
      <c r="A9" s="2" t="inlineStr">
        <is>
          <t>Variazione debiti tributari, previdenziali, altri e ratei</t>
        </is>
      </c>
      <c r="B9" s="4" t="n">
        <v>-69642</v>
      </c>
      <c r="C9" s="4" t="n">
        <v>7098</v>
      </c>
      <c r="D9" s="4" t="n">
        <v>8677</v>
      </c>
      <c r="E9" s="4" t="n">
        <v>8026</v>
      </c>
      <c r="F9" s="4" t="n">
        <v>10811</v>
      </c>
      <c r="G9" s="4" t="n">
        <v>1589</v>
      </c>
      <c r="H9" s="4" t="n">
        <v>-33039</v>
      </c>
      <c r="I9" s="4" t="n">
        <v>36</v>
      </c>
      <c r="J9" s="4" t="n">
        <v>12331</v>
      </c>
      <c r="K9" s="4" t="n">
        <v>14370</v>
      </c>
      <c r="L9" s="4" t="n">
        <v>-21792</v>
      </c>
      <c r="M9" s="4" t="n">
        <v>51880</v>
      </c>
      <c r="N9" s="4" t="n">
        <v>-38981</v>
      </c>
      <c r="O9" s="4" t="n">
        <v>8076</v>
      </c>
      <c r="P9" s="4" t="n">
        <v>9310</v>
      </c>
      <c r="Q9" s="4" t="n">
        <v>8821</v>
      </c>
      <c r="R9" s="4" t="n">
        <v>12996</v>
      </c>
      <c r="S9" s="4" t="n">
        <v>-9818</v>
      </c>
      <c r="T9" s="4" t="n">
        <v>-41918</v>
      </c>
      <c r="U9" s="4" t="n">
        <v>211</v>
      </c>
      <c r="V9" s="4" t="n">
        <v>12813</v>
      </c>
      <c r="W9" s="4" t="n">
        <v>14768</v>
      </c>
      <c r="X9" s="4" t="n">
        <v>-36148</v>
      </c>
      <c r="Y9" s="4" t="n">
        <v>60666</v>
      </c>
      <c r="Z9" s="4" t="n">
        <v>-45058</v>
      </c>
      <c r="AA9" s="4" t="n">
        <v>6356</v>
      </c>
      <c r="AB9" s="4" t="n">
        <v>10861</v>
      </c>
      <c r="AC9" s="4" t="n">
        <v>11795</v>
      </c>
      <c r="AD9" s="4" t="n">
        <v>12957</v>
      </c>
      <c r="AE9" s="4" t="n">
        <v>12756</v>
      </c>
      <c r="AF9" s="4" t="n">
        <v>-48422</v>
      </c>
      <c r="AG9" s="4" t="n">
        <v>239</v>
      </c>
      <c r="AH9" s="4" t="n">
        <v>15465</v>
      </c>
      <c r="AI9" s="4" t="n">
        <v>17297</v>
      </c>
      <c r="AJ9" s="4" t="n">
        <v>-39306</v>
      </c>
      <c r="AK9" s="4" t="n">
        <v>70906</v>
      </c>
    </row>
    <row r="10">
      <c r="A10" s="2" t="inlineStr">
        <is>
          <t>Flusso operativo</t>
        </is>
      </c>
      <c r="B10" s="4" t="n">
        <v>-41296</v>
      </c>
      <c r="C10" s="4" t="n">
        <v>25948</v>
      </c>
      <c r="D10" s="4" t="n">
        <v>33776</v>
      </c>
      <c r="E10" s="4" t="n">
        <v>32772</v>
      </c>
      <c r="F10" s="4" t="n">
        <v>40407</v>
      </c>
      <c r="G10" s="4" t="n">
        <v>-16324</v>
      </c>
      <c r="H10" s="4" t="n">
        <v>2080</v>
      </c>
      <c r="I10" s="4" t="n">
        <v>10642</v>
      </c>
      <c r="J10" s="4" t="n">
        <v>38769</v>
      </c>
      <c r="K10" s="4" t="n">
        <v>48100</v>
      </c>
      <c r="L10" s="4" t="n">
        <v>14876</v>
      </c>
      <c r="M10" s="4" t="n">
        <v>57592</v>
      </c>
      <c r="N10" s="4" t="n">
        <v>9596</v>
      </c>
      <c r="O10" s="4" t="n">
        <v>26264</v>
      </c>
      <c r="P10" s="4" t="n">
        <v>36506</v>
      </c>
      <c r="Q10" s="4" t="n">
        <v>36063</v>
      </c>
      <c r="R10" s="4" t="n">
        <v>46103</v>
      </c>
      <c r="S10" s="4" t="n">
        <v>-36582</v>
      </c>
      <c r="T10" s="4" t="n">
        <v>-1708</v>
      </c>
      <c r="U10" s="4" t="n">
        <v>5245</v>
      </c>
      <c r="V10" s="4" t="n">
        <v>45379</v>
      </c>
      <c r="W10" s="4" t="n">
        <v>58954</v>
      </c>
      <c r="X10" s="4" t="n">
        <v>11563</v>
      </c>
      <c r="Y10" s="4" t="n">
        <v>77673</v>
      </c>
      <c r="Z10" s="4" t="n">
        <v>3176</v>
      </c>
      <c r="AA10" s="4" t="n">
        <v>29082</v>
      </c>
      <c r="AB10" s="4" t="n">
        <v>44292</v>
      </c>
      <c r="AC10" s="4" t="n">
        <v>42334</v>
      </c>
      <c r="AD10" s="4" t="n">
        <v>52861</v>
      </c>
      <c r="AE10" s="4" t="n">
        <v>-16262</v>
      </c>
      <c r="AF10" s="4" t="n">
        <v>2</v>
      </c>
      <c r="AG10" s="4" t="n">
        <v>7866</v>
      </c>
      <c r="AH10" s="4" t="n">
        <v>55230</v>
      </c>
      <c r="AI10" s="4" t="n">
        <v>70733</v>
      </c>
      <c r="AJ10" s="4" t="n">
        <v>18285</v>
      </c>
      <c r="AK10" s="4" t="n">
        <v>93247</v>
      </c>
    </row>
    <row r="11">
      <c r="A11" s="2" t="inlineStr">
        <is>
          <t>Investimenti</t>
        </is>
      </c>
      <c r="B11" s="4" t="n">
        <v>-13058</v>
      </c>
      <c r="C11" s="4" t="n">
        <v>-13058</v>
      </c>
      <c r="D11" s="4" t="n">
        <v>-14836</v>
      </c>
      <c r="E11" s="4" t="n">
        <v>-13947</v>
      </c>
      <c r="F11" s="4" t="n">
        <v>-13503</v>
      </c>
      <c r="G11" s="4" t="n">
        <v>-13281</v>
      </c>
      <c r="H11" s="4" t="n">
        <v>-13058</v>
      </c>
      <c r="I11" s="4" t="n">
        <v>-9370</v>
      </c>
      <c r="J11" s="4" t="n">
        <v>-18525</v>
      </c>
      <c r="K11" s="4" t="n">
        <v>-17636</v>
      </c>
      <c r="L11" s="4" t="n">
        <v>-13503</v>
      </c>
      <c r="M11" s="4" t="n">
        <v>-13725</v>
      </c>
      <c r="N11" s="4" t="n">
        <v>-14469</v>
      </c>
      <c r="O11" s="4" t="n">
        <v>-14469</v>
      </c>
      <c r="P11" s="4" t="n">
        <v>-16394</v>
      </c>
      <c r="Q11" s="4" t="n">
        <v>-15431</v>
      </c>
      <c r="R11" s="4" t="n">
        <v>-14949</v>
      </c>
      <c r="S11" s="4" t="n">
        <v>-14708</v>
      </c>
      <c r="T11" s="4" t="n">
        <v>-14467</v>
      </c>
      <c r="U11" s="4" t="n">
        <v>-10785</v>
      </c>
      <c r="V11" s="4" t="n">
        <v>-20076</v>
      </c>
      <c r="W11" s="4" t="n">
        <v>-19113</v>
      </c>
      <c r="X11" s="4" t="n">
        <v>-14949</v>
      </c>
      <c r="Y11" s="4" t="n">
        <v>-15190</v>
      </c>
      <c r="Z11" s="4" t="n">
        <v>-16132</v>
      </c>
      <c r="AA11" s="4" t="n">
        <v>-16132</v>
      </c>
      <c r="AB11" s="4" t="n">
        <v>-17762</v>
      </c>
      <c r="AC11" s="4" t="n">
        <v>-16947</v>
      </c>
      <c r="AD11" s="4" t="n">
        <v>-16540</v>
      </c>
      <c r="AE11" s="4" t="n">
        <v>-16336</v>
      </c>
      <c r="AF11" s="4" t="n">
        <v>-16132</v>
      </c>
      <c r="AG11" s="4" t="n">
        <v>-12237</v>
      </c>
      <c r="AH11" s="4" t="n">
        <v>-21657</v>
      </c>
      <c r="AI11" s="4" t="n">
        <v>-20842</v>
      </c>
      <c r="AJ11" s="4" t="n">
        <v>-16540</v>
      </c>
      <c r="AK11" s="4" t="n">
        <v>-16743</v>
      </c>
    </row>
    <row r="12">
      <c r="A12" s="2" t="inlineStr">
        <is>
          <t>Finanziamenti</t>
        </is>
      </c>
      <c r="B12" s="4" t="n">
        <v>0</v>
      </c>
      <c r="C12" s="4" t="n">
        <v>0</v>
      </c>
      <c r="D12" s="4" t="n">
        <v>138750</v>
      </c>
      <c r="E12" s="4" t="n">
        <v>0</v>
      </c>
      <c r="F12" s="4" t="n">
        <v>0</v>
      </c>
      <c r="G12" s="4" t="n">
        <v>-11250</v>
      </c>
      <c r="H12" s="4" t="n">
        <v>0</v>
      </c>
      <c r="I12" s="4" t="n">
        <v>0</v>
      </c>
      <c r="J12" s="4" t="n">
        <v>-11250</v>
      </c>
      <c r="K12" s="4" t="n">
        <v>0</v>
      </c>
      <c r="L12" s="4" t="n">
        <v>0</v>
      </c>
      <c r="M12" s="4" t="n">
        <v>-11250</v>
      </c>
      <c r="N12" s="4" t="n">
        <v>0</v>
      </c>
      <c r="O12" s="4" t="n">
        <v>0</v>
      </c>
      <c r="P12" s="4" t="n">
        <v>-20625</v>
      </c>
      <c r="Q12" s="4" t="n">
        <v>0</v>
      </c>
      <c r="R12" s="4" t="n">
        <v>0</v>
      </c>
      <c r="S12" s="4" t="n">
        <v>-20625</v>
      </c>
      <c r="T12" s="4" t="n">
        <v>0</v>
      </c>
      <c r="U12" s="4" t="n">
        <v>0</v>
      </c>
      <c r="V12" s="4" t="n">
        <v>-16875</v>
      </c>
      <c r="W12" s="4" t="n">
        <v>0</v>
      </c>
      <c r="X12" s="4" t="n">
        <v>0</v>
      </c>
      <c r="Y12" s="4" t="n">
        <v>-9375</v>
      </c>
      <c r="Z12" s="4" t="n">
        <v>0</v>
      </c>
      <c r="AA12" s="4" t="n">
        <v>0</v>
      </c>
      <c r="AB12" s="4" t="n">
        <v>-9375</v>
      </c>
      <c r="AC12" s="4" t="n">
        <v>0</v>
      </c>
      <c r="AD12" s="4" t="n">
        <v>0</v>
      </c>
      <c r="AE12" s="4" t="n">
        <v>-9375</v>
      </c>
      <c r="AF12" s="4" t="n">
        <v>0</v>
      </c>
      <c r="AG12" s="4" t="n">
        <v>0</v>
      </c>
      <c r="AH12" s="4" t="n">
        <v>-9375</v>
      </c>
      <c r="AI12" s="4" t="n">
        <v>0</v>
      </c>
      <c r="AJ12" s="4" t="n">
        <v>0</v>
      </c>
      <c r="AK12" s="4" t="n">
        <v>-9375</v>
      </c>
    </row>
    <row r="13">
      <c r="A13" s="2" t="inlineStr">
        <is>
          <t>Dividendi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-90000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-69245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-73694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</row>
    <row r="14">
      <c r="A14" s="2" t="inlineStr">
        <is>
          <t>Variazione delle disponibilità liquide</t>
        </is>
      </c>
      <c r="B14" s="4" t="n">
        <v>-54354</v>
      </c>
      <c r="C14" s="4" t="n">
        <v>12890</v>
      </c>
      <c r="D14" s="4" t="n">
        <v>157690</v>
      </c>
      <c r="E14" s="4" t="n">
        <v>18825</v>
      </c>
      <c r="F14" s="4" t="n">
        <v>26904</v>
      </c>
      <c r="G14" s="4" t="n">
        <v>-130855</v>
      </c>
      <c r="H14" s="4" t="n">
        <v>-10978</v>
      </c>
      <c r="I14" s="4" t="n">
        <v>1272</v>
      </c>
      <c r="J14" s="4" t="n">
        <v>8994</v>
      </c>
      <c r="K14" s="4" t="n">
        <v>30464</v>
      </c>
      <c r="L14" s="4" t="n">
        <v>1373</v>
      </c>
      <c r="M14" s="4" t="n">
        <v>32617</v>
      </c>
      <c r="N14" s="4" t="n">
        <v>-4873</v>
      </c>
      <c r="O14" s="4" t="n">
        <v>11795</v>
      </c>
      <c r="P14" s="4" t="n">
        <v>-513</v>
      </c>
      <c r="Q14" s="4" t="n">
        <v>20632</v>
      </c>
      <c r="R14" s="4" t="n">
        <v>31154</v>
      </c>
      <c r="S14" s="4" t="n">
        <v>-141160</v>
      </c>
      <c r="T14" s="4" t="n">
        <v>-16175</v>
      </c>
      <c r="U14" s="4" t="n">
        <v>-5540</v>
      </c>
      <c r="V14" s="4" t="n">
        <v>8428</v>
      </c>
      <c r="W14" s="4" t="n">
        <v>39841</v>
      </c>
      <c r="X14" s="4" t="n">
        <v>-3386</v>
      </c>
      <c r="Y14" s="4" t="n">
        <v>53108</v>
      </c>
      <c r="Z14" s="4" t="n">
        <v>-12956</v>
      </c>
      <c r="AA14" s="4" t="n">
        <v>12950</v>
      </c>
      <c r="AB14" s="4" t="n">
        <v>17155</v>
      </c>
      <c r="AC14" s="4" t="n">
        <v>25387</v>
      </c>
      <c r="AD14" s="4" t="n">
        <v>36321</v>
      </c>
      <c r="AE14" s="4" t="n">
        <v>-115667</v>
      </c>
      <c r="AF14" s="4" t="n">
        <v>-16130</v>
      </c>
      <c r="AG14" s="4" t="n">
        <v>-4371</v>
      </c>
      <c r="AH14" s="4" t="n">
        <v>24198</v>
      </c>
      <c r="AI14" s="4" t="n">
        <v>49891</v>
      </c>
      <c r="AJ14" s="4" t="n">
        <v>1745</v>
      </c>
      <c r="AK14" s="4" t="n">
        <v>67129</v>
      </c>
    </row>
    <row r="15">
      <c r="A15" s="2" t="inlineStr">
        <is>
          <t>Disponibilità a inizio mese</t>
        </is>
      </c>
      <c r="B15" s="4" t="n">
        <v>205497</v>
      </c>
      <c r="C15" s="4" t="n">
        <v>151143</v>
      </c>
      <c r="D15" s="4" t="n">
        <v>164033</v>
      </c>
      <c r="E15" s="4" t="n">
        <v>321723</v>
      </c>
      <c r="F15" s="4" t="n">
        <v>340548</v>
      </c>
      <c r="G15" s="4" t="n">
        <v>367452</v>
      </c>
      <c r="H15" s="4" t="n">
        <v>236597</v>
      </c>
      <c r="I15" s="4" t="n">
        <v>225619</v>
      </c>
      <c r="J15" s="4" t="n">
        <v>226891</v>
      </c>
      <c r="K15" s="4" t="n">
        <v>235885</v>
      </c>
      <c r="L15" s="4" t="n">
        <v>266349</v>
      </c>
      <c r="M15" s="4" t="n">
        <v>267722</v>
      </c>
      <c r="N15" s="4" t="n">
        <v>300339</v>
      </c>
      <c r="O15" s="4" t="n">
        <v>295466</v>
      </c>
      <c r="P15" s="4" t="n">
        <v>307261</v>
      </c>
      <c r="Q15" s="4" t="n">
        <v>306748</v>
      </c>
      <c r="R15" s="4" t="n">
        <v>327380</v>
      </c>
      <c r="S15" s="4" t="n">
        <v>358534</v>
      </c>
      <c r="T15" s="4" t="n">
        <v>217374</v>
      </c>
      <c r="U15" s="4" t="n">
        <v>201199</v>
      </c>
      <c r="V15" s="4" t="n">
        <v>195659</v>
      </c>
      <c r="W15" s="4" t="n">
        <v>204087</v>
      </c>
      <c r="X15" s="4" t="n">
        <v>243928</v>
      </c>
      <c r="Y15" s="4" t="n">
        <v>240542</v>
      </c>
      <c r="Z15" s="4" t="n">
        <v>293650</v>
      </c>
      <c r="AA15" s="4" t="n">
        <v>280694</v>
      </c>
      <c r="AB15" s="4" t="n">
        <v>293644</v>
      </c>
      <c r="AC15" s="4" t="n">
        <v>310799</v>
      </c>
      <c r="AD15" s="4" t="n">
        <v>336186</v>
      </c>
      <c r="AE15" s="4" t="n">
        <v>372507</v>
      </c>
      <c r="AF15" s="4" t="n">
        <v>256840</v>
      </c>
      <c r="AG15" s="4" t="n">
        <v>240710</v>
      </c>
      <c r="AH15" s="4" t="n">
        <v>236339</v>
      </c>
      <c r="AI15" s="4" t="n">
        <v>260537</v>
      </c>
      <c r="AJ15" s="4" t="n">
        <v>310428</v>
      </c>
      <c r="AK15" s="4" t="n">
        <v>312173</v>
      </c>
    </row>
    <row r="16">
      <c r="A16" s="2" t="inlineStr">
        <is>
          <t>Disponibilità a fine mese</t>
        </is>
      </c>
      <c r="B16" s="4" t="n">
        <v>151143</v>
      </c>
      <c r="C16" s="4" t="n">
        <v>164033</v>
      </c>
      <c r="D16" s="4" t="n">
        <v>321723</v>
      </c>
      <c r="E16" s="4" t="n">
        <v>340548</v>
      </c>
      <c r="F16" s="4" t="n">
        <v>367452</v>
      </c>
      <c r="G16" s="4" t="n">
        <v>236597</v>
      </c>
      <c r="H16" s="4" t="n">
        <v>225619</v>
      </c>
      <c r="I16" s="4" t="n">
        <v>226891</v>
      </c>
      <c r="J16" s="4" t="n">
        <v>235885</v>
      </c>
      <c r="K16" s="4" t="n">
        <v>266349</v>
      </c>
      <c r="L16" s="4" t="n">
        <v>267722</v>
      </c>
      <c r="M16" s="4" t="n">
        <v>300339</v>
      </c>
      <c r="N16" s="4" t="n">
        <v>295466</v>
      </c>
      <c r="O16" s="4" t="n">
        <v>307261</v>
      </c>
      <c r="P16" s="4" t="n">
        <v>306748</v>
      </c>
      <c r="Q16" s="4" t="n">
        <v>327380</v>
      </c>
      <c r="R16" s="4" t="n">
        <v>358534</v>
      </c>
      <c r="S16" s="4" t="n">
        <v>217374</v>
      </c>
      <c r="T16" s="4" t="n">
        <v>201199</v>
      </c>
      <c r="U16" s="4" t="n">
        <v>195659</v>
      </c>
      <c r="V16" s="4" t="n">
        <v>204087</v>
      </c>
      <c r="W16" s="4" t="n">
        <v>243928</v>
      </c>
      <c r="X16" s="4" t="n">
        <v>240542</v>
      </c>
      <c r="Y16" s="4" t="n">
        <v>293650</v>
      </c>
      <c r="Z16" s="4" t="n">
        <v>280694</v>
      </c>
      <c r="AA16" s="4" t="n">
        <v>293644</v>
      </c>
      <c r="AB16" s="4" t="n">
        <v>310799</v>
      </c>
      <c r="AC16" s="4" t="n">
        <v>336186</v>
      </c>
      <c r="AD16" s="4" t="n">
        <v>372507</v>
      </c>
      <c r="AE16" s="4" t="n">
        <v>256840</v>
      </c>
      <c r="AF16" s="4" t="n">
        <v>240710</v>
      </c>
      <c r="AG16" s="4" t="n">
        <v>236339</v>
      </c>
      <c r="AH16" s="4" t="n">
        <v>260537</v>
      </c>
      <c r="AI16" s="4" t="n">
        <v>310428</v>
      </c>
      <c r="AJ16" s="4" t="n">
        <v>312173</v>
      </c>
      <c r="AK16" s="4" t="n">
        <v>379302</v>
      </c>
    </row>
  </sheetData>
  <autoFilter ref="A1:A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2026-10-14T18:57:00Z</dcterms:created>
  <dcterms:modified xsi:type="dcterms:W3CDTF">2026-10-14T18:57:00Z</dcterms:modified>
</cp:coreProperties>
</file>