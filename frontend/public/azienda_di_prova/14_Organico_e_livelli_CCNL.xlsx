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co" sheetId="1" state="visible" r:id="rId1"/>
    <sheet name="Retribuzioni lorde 2025" sheetId="2" state="visible" r:id="rId2"/>
    <sheet name="Costo del lavoro 2025" sheetId="3" state="visible" r:id="rId3"/>
    <sheet name="Cedolini 2026 (lordo)" sheetId="4" state="visible" r:id="rId4"/>
    <sheet name="Presenze 2025" sheetId="5" state="visible" r:id="rId5"/>
    <sheet name="Assunzioni e cessazioni" sheetId="6" state="visible" r:id="rId6"/>
    <sheet name="Piano assunzioni 2026-28" sheetId="7" state="visible" r:id="rId7"/>
  </sheets>
  <definedNames>
    <definedName name="_xlnm._FilterDatabase" localSheetId="0" hidden="1">'Organico'!$A$1:$S$18</definedName>
    <definedName name="_xlnm._FilterDatabase" localSheetId="1" hidden="1">'Retribuzioni lorde 2025'!$A$1:$O$18</definedName>
    <definedName name="_xlnm._FilterDatabase" localSheetId="2" hidden="1">'Costo del lavoro 2025'!$A$1:$G$18</definedName>
    <definedName name="_xlnm._FilterDatabase" localSheetId="3" hidden="1">'Cedolini 2026 (lordo)'!$A$1:$L$18</definedName>
    <definedName name="_xlnm._FilterDatabase" localSheetId="4" hidden="1">'Presenze 2025'!$A$1:$J$18</definedName>
    <definedName name="_xlnm._FilterDatabase" localSheetId="5" hidden="1">'Assunzioni e cessazioni'!$A$1:$E$15</definedName>
    <definedName name="_xlnm._FilterDatabase" localSheetId="6" hidden="1">'Piano assunzioni 2026-28'!$A$1:$F$9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;[Red]-#,##0"/>
    <numFmt numFmtId="167" formatCode="#,##0.00;[Red]-#,##0.00"/>
    <numFmt numFmtId="168" formatCode="#,##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6" fontId="3" fillId="3" borderId="0" pivotButton="0" quotePrefix="0" xfId="0"/>
    <xf numFmtId="167" fontId="3" fillId="3" borderId="0" pivotButton="0" quotePrefix="0" xfId="0"/>
    <xf numFmtId="168" fontId="2" fillId="0" borderId="0" pivotButton="0" quotePrefix="0" xfId="0"/>
    <xf numFmtId="168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0" customWidth="1" min="4" max="4"/>
    <col width="6" customWidth="1" min="5" max="5"/>
    <col width="14" customWidth="1" min="6" max="6"/>
    <col width="32" customWidth="1" min="7" max="7"/>
    <col width="10" customWidth="1" min="8" max="8"/>
    <col width="16" customWidth="1" min="9" max="9"/>
    <col width="14" customWidth="1" min="10" max="10"/>
    <col width="10" customWidth="1" min="11" max="11"/>
    <col width="10" customWidth="1" min="12" max="12"/>
    <col width="14" customWidth="1" min="13" max="13"/>
    <col width="18" customWidth="1" min="14" max="14"/>
    <col width="20" customWidth="1" min="15" max="15"/>
    <col width="18" customWidth="1" min="16" max="16"/>
    <col width="30" customWidth="1" min="17" max="17"/>
    <col width="30" customWidth="1" min="18" max="18"/>
    <col width="48" customWidth="1" min="19" max="19"/>
  </cols>
  <sheetData>
    <row r="1" ht="32" customHeight="1">
      <c r="A1" s="1" t="inlineStr">
        <is>
          <t>Matricola</t>
        </is>
      </c>
      <c r="B1" s="1" t="inlineStr">
        <is>
          <t>Cognome</t>
        </is>
      </c>
      <c r="C1" s="1" t="inlineStr">
        <is>
          <t>Nome</t>
        </is>
      </c>
      <c r="D1" s="1" t="inlineStr">
        <is>
          <t>Codice fiscale</t>
        </is>
      </c>
      <c r="E1" s="1" t="inlineStr">
        <is>
          <t>Sesso</t>
        </is>
      </c>
      <c r="F1" s="1" t="inlineStr">
        <is>
          <t>Data di nascita</t>
        </is>
      </c>
      <c r="G1" s="1" t="inlineStr">
        <is>
          <t>Ruolo</t>
        </is>
      </c>
      <c r="H1" s="1" t="inlineStr">
        <is>
          <t>Livello CCNL</t>
        </is>
      </c>
      <c r="I1" s="1" t="inlineStr">
        <is>
          <t>Tipo contratto</t>
        </is>
      </c>
      <c r="J1" s="1" t="inlineStr">
        <is>
          <t>Data assunzione</t>
        </is>
      </c>
      <c r="K1" s="1" t="inlineStr">
        <is>
          <t>Ore settimanali</t>
        </is>
      </c>
      <c r="L1" s="1" t="inlineStr">
        <is>
          <t>Mensilità</t>
        </is>
      </c>
      <c r="M1" s="1" t="inlineStr">
        <is>
          <t>RAL (EUR)</t>
        </is>
      </c>
      <c r="N1" s="1" t="inlineStr">
        <is>
          <t>Retribuzione mensile lorda (EUR)</t>
        </is>
      </c>
      <c r="O1" s="1" t="inlineStr">
        <is>
          <t>Costo azienda annuo stimato (EUR)</t>
        </is>
      </c>
      <c r="P1" s="1" t="inlineStr">
        <is>
          <t>Centro di costo</t>
        </is>
      </c>
      <c r="Q1" s="1" t="inlineStr">
        <is>
          <t>Sede</t>
        </is>
      </c>
      <c r="R1" s="1" t="inlineStr">
        <is>
          <t>Note</t>
        </is>
      </c>
      <c r="S1" s="1" t="inlineStr">
        <is>
          <t>CCNL applicato</t>
        </is>
      </c>
    </row>
    <row r="2">
      <c r="A2" s="2" t="inlineStr">
        <is>
          <t>M001</t>
        </is>
      </c>
      <c r="B2" s="2" t="inlineStr">
        <is>
          <t>Ferraris</t>
        </is>
      </c>
      <c r="C2" s="2" t="inlineStr">
        <is>
          <t>Giulia</t>
        </is>
      </c>
      <c r="D2" s="2" t="inlineStr">
        <is>
          <t>FRRGLI81B58L219I</t>
        </is>
      </c>
      <c r="E2" s="2" t="inlineStr">
        <is>
          <t>F</t>
        </is>
      </c>
      <c r="F2" s="3" t="n">
        <v>29635</v>
      </c>
      <c r="G2" s="2" t="inlineStr">
        <is>
          <t>Amministratore e direttore tecnico</t>
        </is>
      </c>
      <c r="H2" s="2" t="inlineStr">
        <is>
          <t>Quadro</t>
        </is>
      </c>
      <c r="I2" s="2" t="inlineStr">
        <is>
          <t>Indeterminato</t>
        </is>
      </c>
      <c r="J2" s="3" t="n">
        <v>42443</v>
      </c>
      <c r="K2" s="2" t="n">
        <v>40</v>
      </c>
      <c r="L2" s="2" t="n">
        <v>14</v>
      </c>
      <c r="M2" s="4" t="n">
        <v>56500</v>
      </c>
      <c r="N2" s="5">
        <f>M2/L2</f>
        <v/>
      </c>
      <c r="O2" s="4" t="n">
        <v>78000</v>
      </c>
      <c r="P2" s="2" t="inlineStr">
        <is>
          <t>Direzione e staff</t>
        </is>
      </c>
      <c r="Q2" s="2" t="inlineStr">
        <is>
          <t>Via Garibaldi 28</t>
        </is>
      </c>
      <c r="R2" s="2" t="inlineStr"/>
      <c r="S2" s="2" t="inlineStr">
        <is>
          <t>CCNL Commercio, Terziario Distribuzione e Servizi (Confcommercio)</t>
        </is>
      </c>
    </row>
    <row r="3">
      <c r="A3" s="2" t="inlineStr">
        <is>
          <t>M002</t>
        </is>
      </c>
      <c r="B3" s="2" t="inlineStr">
        <is>
          <t>Gallo</t>
        </is>
      </c>
      <c r="C3" s="2" t="inlineStr">
        <is>
          <t>Matteo</t>
        </is>
      </c>
      <c r="D3" s="2" t="inlineStr">
        <is>
          <t>GLLMTT84L02L219P</t>
        </is>
      </c>
      <c r="E3" s="2" t="inlineStr">
        <is>
          <t>M</t>
        </is>
      </c>
      <c r="F3" s="3" t="n">
        <v>30865</v>
      </c>
      <c r="G3" s="2" t="inlineStr">
        <is>
          <t>Responsabile sviluppo</t>
        </is>
      </c>
      <c r="H3" s="2" t="inlineStr">
        <is>
          <t>1</t>
        </is>
      </c>
      <c r="I3" s="2" t="inlineStr">
        <is>
          <t>Indeterminato</t>
        </is>
      </c>
      <c r="J3" s="3" t="n">
        <v>42614</v>
      </c>
      <c r="K3" s="2" t="n">
        <v>40</v>
      </c>
      <c r="L3" s="2" t="n">
        <v>14</v>
      </c>
      <c r="M3" s="4" t="n">
        <v>50000</v>
      </c>
      <c r="N3" s="5">
        <f>M3/L3</f>
        <v/>
      </c>
      <c r="O3" s="4" t="n">
        <v>69000</v>
      </c>
      <c r="P3" s="2" t="inlineStr">
        <is>
          <t>Direzione e staff</t>
        </is>
      </c>
      <c r="Q3" s="2" t="inlineStr">
        <is>
          <t>Via Garibaldi 28</t>
        </is>
      </c>
      <c r="R3" s="2" t="inlineStr"/>
      <c r="S3" s="2" t="inlineStr">
        <is>
          <t>CCNL Commercio, Terziario Distribuzione e Servizi (Confcommercio)</t>
        </is>
      </c>
    </row>
    <row r="4">
      <c r="A4" s="2" t="inlineStr">
        <is>
          <t>M003</t>
        </is>
      </c>
      <c r="B4" s="2" t="inlineStr">
        <is>
          <t>Bertone</t>
        </is>
      </c>
      <c r="C4" s="2" t="inlineStr">
        <is>
          <t>Andrea</t>
        </is>
      </c>
      <c r="D4" s="2" t="inlineStr">
        <is>
          <t>BRTNDR91H12L219V</t>
        </is>
      </c>
      <c r="E4" s="2" t="inlineStr">
        <is>
          <t>M</t>
        </is>
      </c>
      <c r="F4" s="3" t="n">
        <v>33401</v>
      </c>
      <c r="G4" s="2" t="inlineStr">
        <is>
          <t>Sviluppatore senior</t>
        </is>
      </c>
      <c r="H4" s="2" t="inlineStr">
        <is>
          <t>3</t>
        </is>
      </c>
      <c r="I4" s="2" t="inlineStr">
        <is>
          <t>Indeterminato</t>
        </is>
      </c>
      <c r="J4" s="3" t="n">
        <v>43132</v>
      </c>
      <c r="K4" s="2" t="n">
        <v>40</v>
      </c>
      <c r="L4" s="2" t="n">
        <v>14</v>
      </c>
      <c r="M4" s="4" t="n">
        <v>41300</v>
      </c>
      <c r="N4" s="5">
        <f>M4/L4</f>
        <v/>
      </c>
      <c r="O4" s="4" t="n">
        <v>57000</v>
      </c>
      <c r="P4" s="2" t="inlineStr">
        <is>
          <t>Sviluppo</t>
        </is>
      </c>
      <c r="Q4" s="2" t="inlineStr">
        <is>
          <t>Via Garibaldi 28</t>
        </is>
      </c>
      <c r="R4" s="2" t="inlineStr"/>
      <c r="S4" s="2" t="inlineStr">
        <is>
          <t>CCNL Commercio, Terziario Distribuzione e Servizi (Confcommercio)</t>
        </is>
      </c>
    </row>
    <row r="5">
      <c r="A5" s="2" t="inlineStr">
        <is>
          <t>M004</t>
        </is>
      </c>
      <c r="B5" s="2" t="inlineStr">
        <is>
          <t>Marchetti</t>
        </is>
      </c>
      <c r="C5" s="2" t="inlineStr">
        <is>
          <t>Elena</t>
        </is>
      </c>
      <c r="D5" s="2" t="inlineStr">
        <is>
          <t>MRCLNE90A65L219Y</t>
        </is>
      </c>
      <c r="E5" s="2" t="inlineStr">
        <is>
          <t>F</t>
        </is>
      </c>
      <c r="F5" s="3" t="n">
        <v>32898</v>
      </c>
      <c r="G5" s="2" t="inlineStr">
        <is>
          <t>Sviluppatore senior</t>
        </is>
      </c>
      <c r="H5" s="2" t="inlineStr">
        <is>
          <t>3</t>
        </is>
      </c>
      <c r="I5" s="2" t="inlineStr">
        <is>
          <t>Indeterminato</t>
        </is>
      </c>
      <c r="J5" s="3" t="n">
        <v>43598</v>
      </c>
      <c r="K5" s="2" t="n">
        <v>40</v>
      </c>
      <c r="L5" s="2" t="n">
        <v>14</v>
      </c>
      <c r="M5" s="4" t="n">
        <v>40900</v>
      </c>
      <c r="N5" s="5">
        <f>M5/L5</f>
        <v/>
      </c>
      <c r="O5" s="4" t="n">
        <v>56500</v>
      </c>
      <c r="P5" s="2" t="inlineStr">
        <is>
          <t>Sviluppo</t>
        </is>
      </c>
      <c r="Q5" s="2" t="inlineStr">
        <is>
          <t>Via Garibaldi 28</t>
        </is>
      </c>
      <c r="R5" s="2" t="inlineStr"/>
      <c r="S5" s="2" t="inlineStr">
        <is>
          <t>CCNL Commercio, Terziario Distribuzione e Servizi (Confcommercio)</t>
        </is>
      </c>
    </row>
    <row r="6">
      <c r="A6" s="2" t="inlineStr">
        <is>
          <t>M005</t>
        </is>
      </c>
      <c r="B6" s="2" t="inlineStr">
        <is>
          <t>Costa</t>
        </is>
      </c>
      <c r="C6" s="2" t="inlineStr">
        <is>
          <t>Luca</t>
        </is>
      </c>
      <c r="D6" s="2" t="inlineStr">
        <is>
          <t>CSTLCU93P09L219D</t>
        </is>
      </c>
      <c r="E6" s="2" t="inlineStr">
        <is>
          <t>M</t>
        </is>
      </c>
      <c r="F6" s="3" t="n">
        <v>34221</v>
      </c>
      <c r="G6" s="2" t="inlineStr">
        <is>
          <t>Sviluppatore</t>
        </is>
      </c>
      <c r="H6" s="2" t="inlineStr">
        <is>
          <t>4</t>
        </is>
      </c>
      <c r="I6" s="2" t="inlineStr">
        <is>
          <t>Indeterminato</t>
        </is>
      </c>
      <c r="J6" s="3" t="n">
        <v>44075</v>
      </c>
      <c r="K6" s="2" t="n">
        <v>40</v>
      </c>
      <c r="L6" s="2" t="n">
        <v>14</v>
      </c>
      <c r="M6" s="4" t="n">
        <v>35900</v>
      </c>
      <c r="N6" s="5">
        <f>M6/L6</f>
        <v/>
      </c>
      <c r="O6" s="4" t="n">
        <v>49500</v>
      </c>
      <c r="P6" s="2" t="inlineStr">
        <is>
          <t>Sviluppo</t>
        </is>
      </c>
      <c r="Q6" s="2" t="inlineStr">
        <is>
          <t>Via Garibaldi 28</t>
        </is>
      </c>
      <c r="R6" s="2" t="inlineStr"/>
      <c r="S6" s="2" t="inlineStr">
        <is>
          <t>CCNL Commercio, Terziario Distribuzione e Servizi (Confcommercio)</t>
        </is>
      </c>
    </row>
    <row r="7">
      <c r="A7" s="2" t="inlineStr">
        <is>
          <t>M006</t>
        </is>
      </c>
      <c r="B7" s="2" t="inlineStr">
        <is>
          <t>Ricci</t>
        </is>
      </c>
      <c r="C7" s="2" t="inlineStr">
        <is>
          <t>Chiara</t>
        </is>
      </c>
      <c r="D7" s="2" t="inlineStr">
        <is>
          <t>RCCCHR94D70L219Z</t>
        </is>
      </c>
      <c r="E7" s="2" t="inlineStr">
        <is>
          <t>F</t>
        </is>
      </c>
      <c r="F7" s="3" t="n">
        <v>34454</v>
      </c>
      <c r="G7" s="2" t="inlineStr">
        <is>
          <t>Data analyst</t>
        </is>
      </c>
      <c r="H7" s="2" t="inlineStr">
        <is>
          <t>4</t>
        </is>
      </c>
      <c r="I7" s="2" t="inlineStr">
        <is>
          <t>Indeterminato</t>
        </is>
      </c>
      <c r="J7" s="3" t="n">
        <v>44256</v>
      </c>
      <c r="K7" s="2" t="n">
        <v>40</v>
      </c>
      <c r="L7" s="2" t="n">
        <v>14</v>
      </c>
      <c r="M7" s="4" t="n">
        <v>35400</v>
      </c>
      <c r="N7" s="5">
        <f>M7/L7</f>
        <v/>
      </c>
      <c r="O7" s="4" t="n">
        <v>48800</v>
      </c>
      <c r="P7" s="2" t="inlineStr">
        <is>
          <t>Sviluppo</t>
        </is>
      </c>
      <c r="Q7" s="2" t="inlineStr">
        <is>
          <t>Via Garibaldi 28</t>
        </is>
      </c>
      <c r="R7" s="2" t="inlineStr"/>
      <c r="S7" s="2" t="inlineStr">
        <is>
          <t>CCNL Commercio, Terziario Distribuzione e Servizi (Confcommercio)</t>
        </is>
      </c>
    </row>
    <row r="8">
      <c r="A8" s="2" t="inlineStr">
        <is>
          <t>M007</t>
        </is>
      </c>
      <c r="B8" s="2" t="inlineStr">
        <is>
          <t>Moretti</t>
        </is>
      </c>
      <c r="C8" s="2" t="inlineStr">
        <is>
          <t>Davide</t>
        </is>
      </c>
      <c r="D8" s="2" t="inlineStr">
        <is>
          <t>MRTDVD95T03L219U</t>
        </is>
      </c>
      <c r="E8" s="2" t="inlineStr">
        <is>
          <t>M</t>
        </is>
      </c>
      <c r="F8" s="3" t="n">
        <v>35036</v>
      </c>
      <c r="G8" s="2" t="inlineStr">
        <is>
          <t>Sviluppatore</t>
        </is>
      </c>
      <c r="H8" s="2" t="inlineStr">
        <is>
          <t>4</t>
        </is>
      </c>
      <c r="I8" s="2" t="inlineStr">
        <is>
          <t>Indeterminato</t>
        </is>
      </c>
      <c r="J8" s="3" t="n">
        <v>44571</v>
      </c>
      <c r="K8" s="2" t="n">
        <v>40</v>
      </c>
      <c r="L8" s="2" t="n">
        <v>14</v>
      </c>
      <c r="M8" s="4" t="n">
        <v>34800</v>
      </c>
      <c r="N8" s="5">
        <f>M8/L8</f>
        <v/>
      </c>
      <c r="O8" s="4" t="n">
        <v>48000</v>
      </c>
      <c r="P8" s="2" t="inlineStr">
        <is>
          <t>Sviluppo</t>
        </is>
      </c>
      <c r="Q8" s="2" t="inlineStr">
        <is>
          <t>Via Garibaldi 28</t>
        </is>
      </c>
      <c r="R8" s="2" t="inlineStr"/>
      <c r="S8" s="2" t="inlineStr">
        <is>
          <t>CCNL Commercio, Terziario Distribuzione e Servizi (Confcommercio)</t>
        </is>
      </c>
    </row>
    <row r="9">
      <c r="A9" s="2" t="inlineStr">
        <is>
          <t>M008</t>
        </is>
      </c>
      <c r="B9" s="2" t="inlineStr">
        <is>
          <t>Conti</t>
        </is>
      </c>
      <c r="C9" s="2" t="inlineStr">
        <is>
          <t>Federica</t>
        </is>
      </c>
      <c r="D9" s="2" t="inlineStr">
        <is>
          <t>CNTFRC88M56L219U</t>
        </is>
      </c>
      <c r="E9" s="2" t="inlineStr">
        <is>
          <t>F</t>
        </is>
      </c>
      <c r="F9" s="3" t="n">
        <v>32371</v>
      </c>
      <c r="G9" s="2" t="inlineStr">
        <is>
          <t>Project manager</t>
        </is>
      </c>
      <c r="H9" s="2" t="inlineStr">
        <is>
          <t>2</t>
        </is>
      </c>
      <c r="I9" s="2" t="inlineStr">
        <is>
          <t>Indeterminato</t>
        </is>
      </c>
      <c r="J9" s="3" t="n">
        <v>44713</v>
      </c>
      <c r="K9" s="2" t="n">
        <v>40</v>
      </c>
      <c r="L9" s="2" t="n">
        <v>14</v>
      </c>
      <c r="M9" s="4" t="n">
        <v>44200</v>
      </c>
      <c r="N9" s="5">
        <f>M9/L9</f>
        <v/>
      </c>
      <c r="O9" s="4" t="n">
        <v>61000</v>
      </c>
      <c r="P9" s="2" t="inlineStr">
        <is>
          <t>Direzione e staff</t>
        </is>
      </c>
      <c r="Q9" s="2" t="inlineStr">
        <is>
          <t>Via Garibaldi 28 / Corso Francia 114</t>
        </is>
      </c>
      <c r="R9" s="2" t="inlineStr"/>
      <c r="S9" s="2" t="inlineStr">
        <is>
          <t>CCNL Commercio, Terziario Distribuzione e Servizi (Confcommercio)</t>
        </is>
      </c>
    </row>
    <row r="10">
      <c r="A10" s="2" t="inlineStr">
        <is>
          <t>M009</t>
        </is>
      </c>
      <c r="B10" s="2" t="inlineStr">
        <is>
          <t>De Luca</t>
        </is>
      </c>
      <c r="C10" s="2" t="inlineStr">
        <is>
          <t>Simone</t>
        </is>
      </c>
      <c r="D10" s="2" t="inlineStr">
        <is>
          <t>DLCSMN96C21L219O</t>
        </is>
      </c>
      <c r="E10" s="2" t="inlineStr">
        <is>
          <t>M</t>
        </is>
      </c>
      <c r="F10" s="3" t="n">
        <v>35145</v>
      </c>
      <c r="G10" s="2" t="inlineStr">
        <is>
          <t>Sviluppatore</t>
        </is>
      </c>
      <c r="H10" s="2" t="inlineStr">
        <is>
          <t>4</t>
        </is>
      </c>
      <c r="I10" s="2" t="inlineStr">
        <is>
          <t>Indeterminato</t>
        </is>
      </c>
      <c r="J10" s="3" t="n">
        <v>44958</v>
      </c>
      <c r="K10" s="2" t="n">
        <v>40</v>
      </c>
      <c r="L10" s="2" t="n">
        <v>14</v>
      </c>
      <c r="M10" s="4" t="n">
        <v>34400</v>
      </c>
      <c r="N10" s="5">
        <f>M10/L10</f>
        <v/>
      </c>
      <c r="O10" s="4" t="n">
        <v>47500</v>
      </c>
      <c r="P10" s="2" t="inlineStr">
        <is>
          <t>Sviluppo</t>
        </is>
      </c>
      <c r="Q10" s="2" t="inlineStr">
        <is>
          <t>Via Garibaldi 28 / Corso Francia 114</t>
        </is>
      </c>
      <c r="R10" s="2" t="inlineStr"/>
      <c r="S10" s="2" t="inlineStr">
        <is>
          <t>CCNL Commercio, Terziario Distribuzione e Servizi (Confcommercio)</t>
        </is>
      </c>
    </row>
    <row r="11">
      <c r="A11" s="2" t="inlineStr">
        <is>
          <t>M010</t>
        </is>
      </c>
      <c r="B11" s="2" t="inlineStr">
        <is>
          <t>Barbieri</t>
        </is>
      </c>
      <c r="C11" s="2" t="inlineStr">
        <is>
          <t>Laura</t>
        </is>
      </c>
      <c r="D11" s="2" t="inlineStr">
        <is>
          <t>BRBLRA97R51L219L</t>
        </is>
      </c>
      <c r="E11" s="2" t="inlineStr">
        <is>
          <t>F</t>
        </is>
      </c>
      <c r="F11" s="3" t="n">
        <v>35714</v>
      </c>
      <c r="G11" s="2" t="inlineStr">
        <is>
          <t>Sviluppatore</t>
        </is>
      </c>
      <c r="H11" s="2" t="inlineStr">
        <is>
          <t>4</t>
        </is>
      </c>
      <c r="I11" s="2" t="inlineStr">
        <is>
          <t>Indeterminato</t>
        </is>
      </c>
      <c r="J11" s="3" t="n">
        <v>45187</v>
      </c>
      <c r="K11" s="2" t="n">
        <v>40</v>
      </c>
      <c r="L11" s="2" t="n">
        <v>14</v>
      </c>
      <c r="M11" s="4" t="n">
        <v>34100</v>
      </c>
      <c r="N11" s="5">
        <f>M11/L11</f>
        <v/>
      </c>
      <c r="O11" s="4" t="n">
        <v>47000</v>
      </c>
      <c r="P11" s="2" t="inlineStr">
        <is>
          <t>Sviluppo</t>
        </is>
      </c>
      <c r="Q11" s="2" t="inlineStr">
        <is>
          <t>Via Garibaldi 28 / Corso Francia 114</t>
        </is>
      </c>
      <c r="R11" s="2" t="inlineStr"/>
      <c r="S11" s="2" t="inlineStr">
        <is>
          <t>CCNL Commercio, Terziario Distribuzione e Servizi (Confcommercio)</t>
        </is>
      </c>
    </row>
    <row r="12">
      <c r="A12" s="2" t="inlineStr">
        <is>
          <t>M011</t>
        </is>
      </c>
      <c r="B12" s="2" t="inlineStr">
        <is>
          <t>Fontana</t>
        </is>
      </c>
      <c r="C12" s="2" t="inlineStr">
        <is>
          <t>Paola</t>
        </is>
      </c>
      <c r="D12" s="2" t="inlineStr">
        <is>
          <t>FNTPLA85E45L219R</t>
        </is>
      </c>
      <c r="E12" s="2" t="inlineStr">
        <is>
          <t>F</t>
        </is>
      </c>
      <c r="F12" s="3" t="n">
        <v>31172</v>
      </c>
      <c r="G12" s="2" t="inlineStr">
        <is>
          <t>Amministrazione e personale</t>
        </is>
      </c>
      <c r="H12" s="2" t="inlineStr">
        <is>
          <t>4</t>
        </is>
      </c>
      <c r="I12" s="2" t="inlineStr">
        <is>
          <t>Indeterminato</t>
        </is>
      </c>
      <c r="J12" s="3" t="n">
        <v>45236</v>
      </c>
      <c r="K12" s="2" t="n">
        <v>30</v>
      </c>
      <c r="L12" s="2" t="n">
        <v>14</v>
      </c>
      <c r="M12" s="4" t="n">
        <v>24300</v>
      </c>
      <c r="N12" s="5">
        <f>M12/L12</f>
        <v/>
      </c>
      <c r="O12" s="4" t="n">
        <v>33500</v>
      </c>
      <c r="P12" s="2" t="inlineStr">
        <is>
          <t>Direzione e staff</t>
        </is>
      </c>
      <c r="Q12" s="2" t="inlineStr">
        <is>
          <t>Via Garibaldi 28 / Corso Francia 114</t>
        </is>
      </c>
      <c r="R12" s="2" t="inlineStr">
        <is>
          <t>Part time 75%</t>
        </is>
      </c>
      <c r="S12" s="2" t="inlineStr">
        <is>
          <t>CCNL Commercio, Terziario Distribuzione e Servizi (Confcommercio)</t>
        </is>
      </c>
    </row>
    <row r="13">
      <c r="A13" s="2" t="inlineStr">
        <is>
          <t>M012</t>
        </is>
      </c>
      <c r="B13" s="2" t="inlineStr">
        <is>
          <t>Esposito</t>
        </is>
      </c>
      <c r="C13" s="2" t="inlineStr">
        <is>
          <t>Marco</t>
        </is>
      </c>
      <c r="D13" s="2" t="inlineStr">
        <is>
          <t>SPSMRC92S27L219X</t>
        </is>
      </c>
      <c r="E13" s="2" t="inlineStr">
        <is>
          <t>M</t>
        </is>
      </c>
      <c r="F13" s="3" t="n">
        <v>33935</v>
      </c>
      <c r="G13" s="2" t="inlineStr">
        <is>
          <t>UX designer</t>
        </is>
      </c>
      <c r="H13" s="2" t="inlineStr">
        <is>
          <t>4</t>
        </is>
      </c>
      <c r="I13" s="2" t="inlineStr">
        <is>
          <t>Indeterminato</t>
        </is>
      </c>
      <c r="J13" s="3" t="n">
        <v>45384</v>
      </c>
      <c r="K13" s="2" t="n">
        <v>40</v>
      </c>
      <c r="L13" s="2" t="n">
        <v>14</v>
      </c>
      <c r="M13" s="4" t="n">
        <v>33700</v>
      </c>
      <c r="N13" s="5">
        <f>M13/L13</f>
        <v/>
      </c>
      <c r="O13" s="4" t="n">
        <v>46500</v>
      </c>
      <c r="P13" s="2" t="inlineStr">
        <is>
          <t>Sviluppo</t>
        </is>
      </c>
      <c r="Q13" s="2" t="inlineStr">
        <is>
          <t>Via Garibaldi 28 / Corso Francia 114</t>
        </is>
      </c>
      <c r="R13" s="2" t="inlineStr"/>
      <c r="S13" s="2" t="inlineStr">
        <is>
          <t>CCNL Commercio, Terziario Distribuzione e Servizi (Confcommercio)</t>
        </is>
      </c>
    </row>
    <row r="14">
      <c r="A14" s="2" t="inlineStr">
        <is>
          <t>M013</t>
        </is>
      </c>
      <c r="B14" s="2" t="inlineStr">
        <is>
          <t>Villa</t>
        </is>
      </c>
      <c r="C14" s="2" t="inlineStr">
        <is>
          <t>Giorgia</t>
        </is>
      </c>
      <c r="D14" s="2" t="inlineStr">
        <is>
          <t>VLLGRG00H54L219L</t>
        </is>
      </c>
      <c r="E14" s="2" t="inlineStr">
        <is>
          <t>F</t>
        </is>
      </c>
      <c r="F14" s="3" t="n">
        <v>36691</v>
      </c>
      <c r="G14" s="2" t="inlineStr">
        <is>
          <t>Sviluppatore</t>
        </is>
      </c>
      <c r="H14" s="2" t="inlineStr">
        <is>
          <t>5</t>
        </is>
      </c>
      <c r="I14" s="2" t="inlineStr">
        <is>
          <t>Apprendistato</t>
        </is>
      </c>
      <c r="J14" s="3" t="n">
        <v>45537</v>
      </c>
      <c r="K14" s="2" t="n">
        <v>40</v>
      </c>
      <c r="L14" s="2" t="n">
        <v>14</v>
      </c>
      <c r="M14" s="4" t="n">
        <v>26700</v>
      </c>
      <c r="N14" s="5">
        <f>M14/L14</f>
        <v/>
      </c>
      <c r="O14" s="4" t="n">
        <v>36800</v>
      </c>
      <c r="P14" s="2" t="inlineStr">
        <is>
          <t>Sviluppo</t>
        </is>
      </c>
      <c r="Q14" s="2" t="inlineStr">
        <is>
          <t>Via Garibaldi 28 / Corso Francia 114</t>
        </is>
      </c>
      <c r="R14" s="2" t="inlineStr">
        <is>
          <t>Apprendistato professionalizzante</t>
        </is>
      </c>
      <c r="S14" s="2" t="inlineStr">
        <is>
          <t>CCNL Commercio, Terziario Distribuzione e Servizi (Confcommercio)</t>
        </is>
      </c>
    </row>
    <row r="15">
      <c r="A15" s="2" t="inlineStr">
        <is>
          <t>M014</t>
        </is>
      </c>
      <c r="B15" s="2" t="inlineStr">
        <is>
          <t>Greco</t>
        </is>
      </c>
      <c r="C15" s="2" t="inlineStr">
        <is>
          <t>Fabio</t>
        </is>
      </c>
      <c r="D15" s="2" t="inlineStr">
        <is>
          <t>GRCFBA90B08L219Q</t>
        </is>
      </c>
      <c r="E15" s="2" t="inlineStr">
        <is>
          <t>M</t>
        </is>
      </c>
      <c r="F15" s="3" t="n">
        <v>32912</v>
      </c>
      <c r="G15" s="2" t="inlineStr">
        <is>
          <t>Data scientist</t>
        </is>
      </c>
      <c r="H15" s="2" t="inlineStr">
        <is>
          <t>3</t>
        </is>
      </c>
      <c r="I15" s="2" t="inlineStr">
        <is>
          <t>Indeterminato</t>
        </is>
      </c>
      <c r="J15" s="3" t="n">
        <v>45670</v>
      </c>
      <c r="K15" s="2" t="n">
        <v>40</v>
      </c>
      <c r="L15" s="2" t="n">
        <v>14</v>
      </c>
      <c r="M15" s="4" t="n">
        <v>40200</v>
      </c>
      <c r="N15" s="5">
        <f>M15/L15</f>
        <v/>
      </c>
      <c r="O15" s="4" t="n">
        <v>55500</v>
      </c>
      <c r="P15" s="2" t="inlineStr">
        <is>
          <t>Sviluppo</t>
        </is>
      </c>
      <c r="Q15" s="2" t="inlineStr">
        <is>
          <t>Via Garibaldi 28 / Corso Francia 114</t>
        </is>
      </c>
      <c r="R15" s="2" t="inlineStr"/>
      <c r="S15" s="2" t="inlineStr">
        <is>
          <t>CCNL Commercio, Terziario Distribuzione e Servizi (Confcommercio)</t>
        </is>
      </c>
    </row>
    <row r="16">
      <c r="A16" s="2" t="inlineStr">
        <is>
          <t>M015</t>
        </is>
      </c>
      <c r="B16" s="2" t="inlineStr">
        <is>
          <t>Rossetti</t>
        </is>
      </c>
      <c r="C16" s="2" t="inlineStr">
        <is>
          <t>Valentina</t>
        </is>
      </c>
      <c r="D16" s="2" t="inlineStr">
        <is>
          <t>RSSVNT89L59L219M</t>
        </is>
      </c>
      <c r="E16" s="2" t="inlineStr">
        <is>
          <t>F</t>
        </is>
      </c>
      <c r="F16" s="3" t="n">
        <v>32708</v>
      </c>
      <c r="G16" s="2" t="inlineStr">
        <is>
          <t>Commerciale</t>
        </is>
      </c>
      <c r="H16" s="2" t="inlineStr">
        <is>
          <t>3</t>
        </is>
      </c>
      <c r="I16" s="2" t="inlineStr">
        <is>
          <t>Indeterminato</t>
        </is>
      </c>
      <c r="J16" s="3" t="n">
        <v>45719</v>
      </c>
      <c r="K16" s="2" t="n">
        <v>40</v>
      </c>
      <c r="L16" s="2" t="n">
        <v>14</v>
      </c>
      <c r="M16" s="4" t="n">
        <v>39100</v>
      </c>
      <c r="N16" s="5">
        <f>M16/L16</f>
        <v/>
      </c>
      <c r="O16" s="4" t="n">
        <v>54000</v>
      </c>
      <c r="P16" s="2" t="inlineStr">
        <is>
          <t>Commerciale</t>
        </is>
      </c>
      <c r="Q16" s="2" t="inlineStr">
        <is>
          <t>Via Garibaldi 28 / Corso Francia 114</t>
        </is>
      </c>
      <c r="R16" s="2" t="inlineStr"/>
      <c r="S16" s="2" t="inlineStr">
        <is>
          <t>CCNL Commercio, Terziario Distribuzione e Servizi (Confcommercio)</t>
        </is>
      </c>
    </row>
    <row r="17">
      <c r="A17" s="2" t="inlineStr">
        <is>
          <t>M016</t>
        </is>
      </c>
      <c r="B17" s="2" t="inlineStr">
        <is>
          <t>Mancini</t>
        </is>
      </c>
      <c r="C17" s="2" t="inlineStr">
        <is>
          <t>Nicolò</t>
        </is>
      </c>
      <c r="D17" s="2" t="inlineStr">
        <is>
          <t>MNCNCL01A22L219J</t>
        </is>
      </c>
      <c r="E17" s="2" t="inlineStr">
        <is>
          <t>M</t>
        </is>
      </c>
      <c r="F17" s="3" t="n">
        <v>36913</v>
      </c>
      <c r="G17" s="2" t="inlineStr">
        <is>
          <t>Sviluppatore</t>
        </is>
      </c>
      <c r="H17" s="2" t="inlineStr">
        <is>
          <t>5</t>
        </is>
      </c>
      <c r="I17" s="2" t="inlineStr">
        <is>
          <t>Apprendistato</t>
        </is>
      </c>
      <c r="J17" s="3" t="n">
        <v>45931</v>
      </c>
      <c r="K17" s="2" t="n">
        <v>40</v>
      </c>
      <c r="L17" s="2" t="n">
        <v>14</v>
      </c>
      <c r="M17" s="4" t="n">
        <v>26100</v>
      </c>
      <c r="N17" s="5">
        <f>M17/L17</f>
        <v/>
      </c>
      <c r="O17" s="4" t="n">
        <v>36000</v>
      </c>
      <c r="P17" s="2" t="inlineStr">
        <is>
          <t>Sviluppo</t>
        </is>
      </c>
      <c r="Q17" s="2" t="inlineStr">
        <is>
          <t>Via Garibaldi 28 / Corso Francia 114</t>
        </is>
      </c>
      <c r="R17" s="2" t="inlineStr">
        <is>
          <t>Apprendistato professionalizzante</t>
        </is>
      </c>
      <c r="S17" s="2" t="inlineStr">
        <is>
          <t>CCNL Commercio, Terziario Distribuzione e Servizi (Confcommercio)</t>
        </is>
      </c>
    </row>
    <row r="18">
      <c r="A18" s="2" t="inlineStr">
        <is>
          <t>M017</t>
        </is>
      </c>
      <c r="B18" s="2" t="inlineStr">
        <is>
          <t>Ferrero</t>
        </is>
      </c>
      <c r="C18" s="2" t="inlineStr">
        <is>
          <t>Anna</t>
        </is>
      </c>
      <c r="D18" s="2" t="inlineStr">
        <is>
          <t>FRRNNA02D57L219L</t>
        </is>
      </c>
      <c r="E18" s="2" t="inlineStr">
        <is>
          <t>F</t>
        </is>
      </c>
      <c r="F18" s="3" t="n">
        <v>37363</v>
      </c>
      <c r="G18" s="2" t="inlineStr">
        <is>
          <t>Sviluppatore</t>
        </is>
      </c>
      <c r="H18" s="2" t="inlineStr">
        <is>
          <t>5</t>
        </is>
      </c>
      <c r="I18" s="2" t="inlineStr">
        <is>
          <t>Apprendistato</t>
        </is>
      </c>
      <c r="J18" s="3" t="n">
        <v>46055</v>
      </c>
      <c r="K18" s="2" t="n">
        <v>40</v>
      </c>
      <c r="L18" s="2" t="n">
        <v>14</v>
      </c>
      <c r="M18" s="4" t="n">
        <v>25700</v>
      </c>
      <c r="N18" s="5">
        <f>M18/L18</f>
        <v/>
      </c>
      <c r="O18" s="4" t="n">
        <v>35500</v>
      </c>
      <c r="P18" s="2" t="inlineStr">
        <is>
          <t>Sviluppo</t>
        </is>
      </c>
      <c r="Q18" s="2" t="inlineStr">
        <is>
          <t>Via Garibaldi 28 / Corso Francia 114</t>
        </is>
      </c>
      <c r="R18" s="2" t="inlineStr">
        <is>
          <t>Apprendistato professionalizzante</t>
        </is>
      </c>
      <c r="S18" s="2" t="inlineStr">
        <is>
          <t>CCNL Commercio, Terziario Distribuzione e Servizi (Confcommercio)</t>
        </is>
      </c>
    </row>
    <row r="19">
      <c r="A19" s="6" t="inlineStr">
        <is>
          <t>Totale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8">
        <f>SUM(M2:M18)</f>
        <v/>
      </c>
      <c r="N19" s="7" t="n"/>
      <c r="O19" s="8">
        <f>SUM(O2:O18)</f>
        <v/>
      </c>
      <c r="P19" s="7" t="n"/>
      <c r="Q19" s="7" t="n"/>
      <c r="R19" s="7" t="n"/>
      <c r="S19" s="7" t="n"/>
    </row>
  </sheetData>
  <autoFilter ref="A1:S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1" ht="32" customHeight="1">
      <c r="A1" s="1" t="inlineStr">
        <is>
          <t>Matricola</t>
        </is>
      </c>
      <c r="B1" s="1" t="inlineStr">
        <is>
          <t>Dipendente</t>
        </is>
      </c>
      <c r="C1" s="1" t="inlineStr">
        <is>
          <t>Gennaio</t>
        </is>
      </c>
      <c r="D1" s="1" t="inlineStr">
        <is>
          <t>Febbraio</t>
        </is>
      </c>
      <c r="E1" s="1" t="inlineStr">
        <is>
          <t>Marzo</t>
        </is>
      </c>
      <c r="F1" s="1" t="inlineStr">
        <is>
          <t>Aprile</t>
        </is>
      </c>
      <c r="G1" s="1" t="inlineStr">
        <is>
          <t>Maggio</t>
        </is>
      </c>
      <c r="H1" s="1" t="inlineStr">
        <is>
          <t>Giugno</t>
        </is>
      </c>
      <c r="I1" s="1" t="inlineStr">
        <is>
          <t>Luglio</t>
        </is>
      </c>
      <c r="J1" s="1" t="inlineStr">
        <is>
          <t>Agosto</t>
        </is>
      </c>
      <c r="K1" s="1" t="inlineStr">
        <is>
          <t>Settembre</t>
        </is>
      </c>
      <c r="L1" s="1" t="inlineStr">
        <is>
          <t>Ottobre</t>
        </is>
      </c>
      <c r="M1" s="1" t="inlineStr">
        <is>
          <t>Novembre</t>
        </is>
      </c>
      <c r="N1" s="1" t="inlineStr">
        <is>
          <t>Dicembre</t>
        </is>
      </c>
      <c r="O1" s="1" t="inlineStr">
        <is>
          <t>Totale anno</t>
        </is>
      </c>
    </row>
    <row r="2">
      <c r="A2" s="2" t="inlineStr">
        <is>
          <t>M001</t>
        </is>
      </c>
      <c r="B2" s="2" t="inlineStr">
        <is>
          <t>Ferraris Giulia</t>
        </is>
      </c>
      <c r="C2" s="5" t="n">
        <v>4518.89</v>
      </c>
      <c r="D2" s="5" t="n">
        <v>4518.89</v>
      </c>
      <c r="E2" s="5" t="n">
        <v>4518.89</v>
      </c>
      <c r="F2" s="5" t="n">
        <v>4518.89</v>
      </c>
      <c r="G2" s="5" t="n">
        <v>4518.89</v>
      </c>
      <c r="H2" s="5" t="n">
        <v>9037.790000000001</v>
      </c>
      <c r="I2" s="5" t="n">
        <v>4518.89</v>
      </c>
      <c r="J2" s="5" t="n">
        <v>4518.89</v>
      </c>
      <c r="K2" s="5" t="n">
        <v>4518.89</v>
      </c>
      <c r="L2" s="5" t="n">
        <v>4518.89</v>
      </c>
      <c r="M2" s="5" t="n">
        <v>4518.89</v>
      </c>
      <c r="N2" s="5" t="n">
        <v>9037.790000000001</v>
      </c>
      <c r="O2" s="5">
        <f>SUM(C2:N2)</f>
        <v/>
      </c>
    </row>
    <row r="3">
      <c r="A3" s="2" t="inlineStr">
        <is>
          <t>M002</t>
        </is>
      </c>
      <c r="B3" s="2" t="inlineStr">
        <is>
          <t>Gallo Matteo</t>
        </is>
      </c>
      <c r="C3" s="5" t="n">
        <v>3997.48</v>
      </c>
      <c r="D3" s="5" t="n">
        <v>3997.48</v>
      </c>
      <c r="E3" s="5" t="n">
        <v>3997.48</v>
      </c>
      <c r="F3" s="5" t="n">
        <v>3997.48</v>
      </c>
      <c r="G3" s="5" t="n">
        <v>3997.48</v>
      </c>
      <c r="H3" s="5" t="n">
        <v>7994.97</v>
      </c>
      <c r="I3" s="5" t="n">
        <v>3997.48</v>
      </c>
      <c r="J3" s="5" t="n">
        <v>3997.48</v>
      </c>
      <c r="K3" s="5" t="n">
        <v>3997.48</v>
      </c>
      <c r="L3" s="5" t="n">
        <v>3997.48</v>
      </c>
      <c r="M3" s="5" t="n">
        <v>3997.48</v>
      </c>
      <c r="N3" s="5" t="n">
        <v>7994.97</v>
      </c>
      <c r="O3" s="5">
        <f>SUM(C3:N3)</f>
        <v/>
      </c>
    </row>
    <row r="4">
      <c r="A4" s="2" t="inlineStr">
        <is>
          <t>M003</t>
        </is>
      </c>
      <c r="B4" s="2" t="inlineStr">
        <is>
          <t>Bertone Andrea</t>
        </is>
      </c>
      <c r="C4" s="5" t="n">
        <v>3302.27</v>
      </c>
      <c r="D4" s="5" t="n">
        <v>3302.27</v>
      </c>
      <c r="E4" s="5" t="n">
        <v>3302.27</v>
      </c>
      <c r="F4" s="5" t="n">
        <v>3302.27</v>
      </c>
      <c r="G4" s="5" t="n">
        <v>3302.27</v>
      </c>
      <c r="H4" s="5" t="n">
        <v>6604.54</v>
      </c>
      <c r="I4" s="5" t="n">
        <v>3302.27</v>
      </c>
      <c r="J4" s="5" t="n">
        <v>3302.27</v>
      </c>
      <c r="K4" s="5" t="n">
        <v>3302.27</v>
      </c>
      <c r="L4" s="5" t="n">
        <v>3302.27</v>
      </c>
      <c r="M4" s="5" t="n">
        <v>3302.27</v>
      </c>
      <c r="N4" s="5" t="n">
        <v>6604.54</v>
      </c>
      <c r="O4" s="5">
        <f>SUM(C4:N4)</f>
        <v/>
      </c>
    </row>
    <row r="5">
      <c r="A5" s="2" t="inlineStr">
        <is>
          <t>M004</t>
        </is>
      </c>
      <c r="B5" s="2" t="inlineStr">
        <is>
          <t>Marchetti Elena</t>
        </is>
      </c>
      <c r="C5" s="5" t="n">
        <v>3273.3</v>
      </c>
      <c r="D5" s="5" t="n">
        <v>3273.3</v>
      </c>
      <c r="E5" s="5" t="n">
        <v>3273.3</v>
      </c>
      <c r="F5" s="5" t="n">
        <v>3273.3</v>
      </c>
      <c r="G5" s="5" t="n">
        <v>3273.3</v>
      </c>
      <c r="H5" s="5" t="n">
        <v>6546.6</v>
      </c>
      <c r="I5" s="5" t="n">
        <v>3273.3</v>
      </c>
      <c r="J5" s="5" t="n">
        <v>3273.3</v>
      </c>
      <c r="K5" s="5" t="n">
        <v>3273.3</v>
      </c>
      <c r="L5" s="5" t="n">
        <v>3273.3</v>
      </c>
      <c r="M5" s="5" t="n">
        <v>3273.3</v>
      </c>
      <c r="N5" s="5" t="n">
        <v>6546.6</v>
      </c>
      <c r="O5" s="5">
        <f>SUM(C5:N5)</f>
        <v/>
      </c>
    </row>
    <row r="6">
      <c r="A6" s="2" t="inlineStr">
        <is>
          <t>M005</t>
        </is>
      </c>
      <c r="B6" s="2" t="inlineStr">
        <is>
          <t>Costa Luca</t>
        </is>
      </c>
      <c r="C6" s="5" t="n">
        <v>2867.76</v>
      </c>
      <c r="D6" s="5" t="n">
        <v>2867.76</v>
      </c>
      <c r="E6" s="5" t="n">
        <v>2867.76</v>
      </c>
      <c r="F6" s="5" t="n">
        <v>2867.76</v>
      </c>
      <c r="G6" s="5" t="n">
        <v>2867.76</v>
      </c>
      <c r="H6" s="5" t="n">
        <v>5735.52</v>
      </c>
      <c r="I6" s="5" t="n">
        <v>2867.76</v>
      </c>
      <c r="J6" s="5" t="n">
        <v>2867.76</v>
      </c>
      <c r="K6" s="5" t="n">
        <v>2867.76</v>
      </c>
      <c r="L6" s="5" t="n">
        <v>2867.76</v>
      </c>
      <c r="M6" s="5" t="n">
        <v>2867.76</v>
      </c>
      <c r="N6" s="5" t="n">
        <v>5735.52</v>
      </c>
      <c r="O6" s="5">
        <f>SUM(C6:N6)</f>
        <v/>
      </c>
    </row>
    <row r="7">
      <c r="A7" s="2" t="inlineStr">
        <is>
          <t>M006</t>
        </is>
      </c>
      <c r="B7" s="2" t="inlineStr">
        <is>
          <t>Ricci Chiara</t>
        </is>
      </c>
      <c r="C7" s="5" t="n">
        <v>2827.21</v>
      </c>
      <c r="D7" s="5" t="n">
        <v>2827.21</v>
      </c>
      <c r="E7" s="5" t="n">
        <v>2827.21</v>
      </c>
      <c r="F7" s="5" t="n">
        <v>2827.21</v>
      </c>
      <c r="G7" s="5" t="n">
        <v>2827.21</v>
      </c>
      <c r="H7" s="5" t="n">
        <v>5654.41</v>
      </c>
      <c r="I7" s="5" t="n">
        <v>2827.21</v>
      </c>
      <c r="J7" s="5" t="n">
        <v>2827.21</v>
      </c>
      <c r="K7" s="5" t="n">
        <v>2827.21</v>
      </c>
      <c r="L7" s="5" t="n">
        <v>2827.21</v>
      </c>
      <c r="M7" s="5" t="n">
        <v>2827.21</v>
      </c>
      <c r="N7" s="5" t="n">
        <v>5654.41</v>
      </c>
      <c r="O7" s="5">
        <f>SUM(C7:N7)</f>
        <v/>
      </c>
    </row>
    <row r="8">
      <c r="A8" s="2" t="inlineStr">
        <is>
          <t>M007</t>
        </is>
      </c>
      <c r="B8" s="2" t="inlineStr">
        <is>
          <t>Moretti Davide</t>
        </is>
      </c>
      <c r="C8" s="5" t="n">
        <v>2780.86</v>
      </c>
      <c r="D8" s="5" t="n">
        <v>2780.86</v>
      </c>
      <c r="E8" s="5" t="n">
        <v>2780.86</v>
      </c>
      <c r="F8" s="5" t="n">
        <v>2780.86</v>
      </c>
      <c r="G8" s="5" t="n">
        <v>2780.86</v>
      </c>
      <c r="H8" s="5" t="n">
        <v>5561.72</v>
      </c>
      <c r="I8" s="5" t="n">
        <v>2780.86</v>
      </c>
      <c r="J8" s="5" t="n">
        <v>2780.86</v>
      </c>
      <c r="K8" s="5" t="n">
        <v>2780.86</v>
      </c>
      <c r="L8" s="5" t="n">
        <v>2780.86</v>
      </c>
      <c r="M8" s="5" t="n">
        <v>2780.86</v>
      </c>
      <c r="N8" s="5" t="n">
        <v>5561.72</v>
      </c>
      <c r="O8" s="5">
        <f>SUM(C8:N8)</f>
        <v/>
      </c>
    </row>
    <row r="9">
      <c r="A9" s="2" t="inlineStr">
        <is>
          <t>M008</t>
        </is>
      </c>
      <c r="B9" s="2" t="inlineStr">
        <is>
          <t>Conti Federica</t>
        </is>
      </c>
      <c r="C9" s="5" t="n">
        <v>3534.01</v>
      </c>
      <c r="D9" s="5" t="n">
        <v>3534.01</v>
      </c>
      <c r="E9" s="5" t="n">
        <v>3534.01</v>
      </c>
      <c r="F9" s="5" t="n">
        <v>3534.01</v>
      </c>
      <c r="G9" s="5" t="n">
        <v>3534.01</v>
      </c>
      <c r="H9" s="5" t="n">
        <v>7068.01</v>
      </c>
      <c r="I9" s="5" t="n">
        <v>3534.01</v>
      </c>
      <c r="J9" s="5" t="n">
        <v>3534.01</v>
      </c>
      <c r="K9" s="5" t="n">
        <v>3534.01</v>
      </c>
      <c r="L9" s="5" t="n">
        <v>3534.01</v>
      </c>
      <c r="M9" s="5" t="n">
        <v>3534.01</v>
      </c>
      <c r="N9" s="5" t="n">
        <v>7068.01</v>
      </c>
      <c r="O9" s="5">
        <f>SUM(C9:N9)</f>
        <v/>
      </c>
    </row>
    <row r="10">
      <c r="A10" s="2" t="inlineStr">
        <is>
          <t>M009</t>
        </is>
      </c>
      <c r="B10" s="2" t="inlineStr">
        <is>
          <t>De Luca Simone</t>
        </is>
      </c>
      <c r="C10" s="5" t="n">
        <v>2751.89</v>
      </c>
      <c r="D10" s="5" t="n">
        <v>2751.89</v>
      </c>
      <c r="E10" s="5" t="n">
        <v>2751.89</v>
      </c>
      <c r="F10" s="5" t="n">
        <v>2751.89</v>
      </c>
      <c r="G10" s="5" t="n">
        <v>2751.89</v>
      </c>
      <c r="H10" s="5" t="n">
        <v>5503.78</v>
      </c>
      <c r="I10" s="5" t="n">
        <v>2751.89</v>
      </c>
      <c r="J10" s="5" t="n">
        <v>2751.89</v>
      </c>
      <c r="K10" s="5" t="n">
        <v>2751.89</v>
      </c>
      <c r="L10" s="5" t="n">
        <v>2751.89</v>
      </c>
      <c r="M10" s="5" t="n">
        <v>2751.89</v>
      </c>
      <c r="N10" s="5" t="n">
        <v>5503.78</v>
      </c>
      <c r="O10" s="5">
        <f>SUM(C10:N10)</f>
        <v/>
      </c>
    </row>
    <row r="11">
      <c r="A11" s="2" t="inlineStr">
        <is>
          <t>M010</t>
        </is>
      </c>
      <c r="B11" s="2" t="inlineStr">
        <is>
          <t>Barbieri Laura</t>
        </is>
      </c>
      <c r="C11" s="5" t="n">
        <v>2722.92</v>
      </c>
      <c r="D11" s="5" t="n">
        <v>2722.92</v>
      </c>
      <c r="E11" s="5" t="n">
        <v>2722.92</v>
      </c>
      <c r="F11" s="5" t="n">
        <v>2722.92</v>
      </c>
      <c r="G11" s="5" t="n">
        <v>2722.92</v>
      </c>
      <c r="H11" s="5" t="n">
        <v>5445.85</v>
      </c>
      <c r="I11" s="5" t="n">
        <v>2722.92</v>
      </c>
      <c r="J11" s="5" t="n">
        <v>2722.92</v>
      </c>
      <c r="K11" s="5" t="n">
        <v>2722.92</v>
      </c>
      <c r="L11" s="5" t="n">
        <v>2722.92</v>
      </c>
      <c r="M11" s="5" t="n">
        <v>2722.92</v>
      </c>
      <c r="N11" s="5" t="n">
        <v>5445.85</v>
      </c>
      <c r="O11" s="5">
        <f>SUM(C11:N11)</f>
        <v/>
      </c>
    </row>
    <row r="12">
      <c r="A12" s="2" t="inlineStr">
        <is>
          <t>M011</t>
        </is>
      </c>
      <c r="B12" s="2" t="inlineStr">
        <is>
          <t>Fontana Paola</t>
        </is>
      </c>
      <c r="C12" s="5" t="n">
        <v>1940.81</v>
      </c>
      <c r="D12" s="5" t="n">
        <v>1940.81</v>
      </c>
      <c r="E12" s="5" t="n">
        <v>1940.81</v>
      </c>
      <c r="F12" s="5" t="n">
        <v>1940.81</v>
      </c>
      <c r="G12" s="5" t="n">
        <v>1940.81</v>
      </c>
      <c r="H12" s="5" t="n">
        <v>3881.61</v>
      </c>
      <c r="I12" s="5" t="n">
        <v>1940.81</v>
      </c>
      <c r="J12" s="5" t="n">
        <v>1940.81</v>
      </c>
      <c r="K12" s="5" t="n">
        <v>1940.81</v>
      </c>
      <c r="L12" s="5" t="n">
        <v>1940.81</v>
      </c>
      <c r="M12" s="5" t="n">
        <v>1940.81</v>
      </c>
      <c r="N12" s="5" t="n">
        <v>3881.61</v>
      </c>
      <c r="O12" s="5">
        <f>SUM(C12:N12)</f>
        <v/>
      </c>
    </row>
    <row r="13">
      <c r="A13" s="2" t="inlineStr">
        <is>
          <t>M012</t>
        </is>
      </c>
      <c r="B13" s="2" t="inlineStr">
        <is>
          <t>Esposito Marco</t>
        </is>
      </c>
      <c r="C13" s="5" t="n">
        <v>2693.96</v>
      </c>
      <c r="D13" s="5" t="n">
        <v>2693.96</v>
      </c>
      <c r="E13" s="5" t="n">
        <v>2693.96</v>
      </c>
      <c r="F13" s="5" t="n">
        <v>2693.96</v>
      </c>
      <c r="G13" s="5" t="n">
        <v>2693.96</v>
      </c>
      <c r="H13" s="5" t="n">
        <v>5387.91</v>
      </c>
      <c r="I13" s="5" t="n">
        <v>2693.96</v>
      </c>
      <c r="J13" s="5" t="n">
        <v>2693.96</v>
      </c>
      <c r="K13" s="5" t="n">
        <v>2693.96</v>
      </c>
      <c r="L13" s="5" t="n">
        <v>2693.96</v>
      </c>
      <c r="M13" s="5" t="n">
        <v>2693.96</v>
      </c>
      <c r="N13" s="5" t="n">
        <v>5387.91</v>
      </c>
      <c r="O13" s="5">
        <f>SUM(C13:N13)</f>
        <v/>
      </c>
    </row>
    <row r="14">
      <c r="A14" s="2" t="inlineStr">
        <is>
          <t>M013</t>
        </is>
      </c>
      <c r="B14" s="2" t="inlineStr">
        <is>
          <t>Villa Giorgia</t>
        </is>
      </c>
      <c r="C14" s="5" t="n">
        <v>2131.99</v>
      </c>
      <c r="D14" s="5" t="n">
        <v>2131.99</v>
      </c>
      <c r="E14" s="5" t="n">
        <v>2131.99</v>
      </c>
      <c r="F14" s="5" t="n">
        <v>2131.99</v>
      </c>
      <c r="G14" s="5" t="n">
        <v>2131.99</v>
      </c>
      <c r="H14" s="5" t="n">
        <v>4263.98</v>
      </c>
      <c r="I14" s="5" t="n">
        <v>2131.99</v>
      </c>
      <c r="J14" s="5" t="n">
        <v>2131.99</v>
      </c>
      <c r="K14" s="5" t="n">
        <v>2131.99</v>
      </c>
      <c r="L14" s="5" t="n">
        <v>2131.99</v>
      </c>
      <c r="M14" s="5" t="n">
        <v>2131.99</v>
      </c>
      <c r="N14" s="5" t="n">
        <v>4263.98</v>
      </c>
      <c r="O14" s="5">
        <f>SUM(C14:N14)</f>
        <v/>
      </c>
    </row>
    <row r="15">
      <c r="A15" s="2" t="inlineStr">
        <is>
          <t>M014</t>
        </is>
      </c>
      <c r="B15" s="2" t="inlineStr">
        <is>
          <t>Greco Fabio</t>
        </is>
      </c>
      <c r="C15" s="5" t="n">
        <v>1822.04</v>
      </c>
      <c r="D15" s="5" t="n">
        <v>3215.37</v>
      </c>
      <c r="E15" s="5" t="n">
        <v>3215.37</v>
      </c>
      <c r="F15" s="5" t="n">
        <v>3215.37</v>
      </c>
      <c r="G15" s="5" t="n">
        <v>3215.37</v>
      </c>
      <c r="H15" s="5" t="n">
        <v>6430.73</v>
      </c>
      <c r="I15" s="5" t="n">
        <v>3215.37</v>
      </c>
      <c r="J15" s="5" t="n">
        <v>3215.37</v>
      </c>
      <c r="K15" s="5" t="n">
        <v>3215.37</v>
      </c>
      <c r="L15" s="5" t="n">
        <v>3215.37</v>
      </c>
      <c r="M15" s="5" t="n">
        <v>3215.37</v>
      </c>
      <c r="N15" s="5" t="n">
        <v>6430.73</v>
      </c>
      <c r="O15" s="5">
        <f>SUM(C15:N15)</f>
        <v/>
      </c>
    </row>
    <row r="16">
      <c r="A16" s="2" t="inlineStr">
        <is>
          <t>M015</t>
        </is>
      </c>
      <c r="B16" s="2" t="inlineStr">
        <is>
          <t>Rossetti Valentina</t>
        </is>
      </c>
      <c r="C16" s="5" t="n">
        <v>0</v>
      </c>
      <c r="D16" s="5" t="n">
        <v>0</v>
      </c>
      <c r="E16" s="5" t="n">
        <v>2815.62</v>
      </c>
      <c r="F16" s="5" t="n">
        <v>3128.47</v>
      </c>
      <c r="G16" s="5" t="n">
        <v>3128.47</v>
      </c>
      <c r="H16" s="5" t="n">
        <v>6256.93</v>
      </c>
      <c r="I16" s="5" t="n">
        <v>3128.46</v>
      </c>
      <c r="J16" s="5" t="n">
        <v>3128.46</v>
      </c>
      <c r="K16" s="5" t="n">
        <v>3128.46</v>
      </c>
      <c r="L16" s="5" t="n">
        <v>3128.46</v>
      </c>
      <c r="M16" s="5" t="n">
        <v>3128.46</v>
      </c>
      <c r="N16" s="5" t="n">
        <v>6256.93</v>
      </c>
      <c r="O16" s="5">
        <f>SUM(C16:N16)</f>
        <v/>
      </c>
    </row>
    <row r="17">
      <c r="A17" s="2" t="inlineStr">
        <is>
          <t>M016</t>
        </is>
      </c>
      <c r="B17" s="2" t="inlineStr">
        <is>
          <t>Mancini Nicolò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2085.64</v>
      </c>
      <c r="M17" s="5" t="n">
        <v>2085.64</v>
      </c>
      <c r="N17" s="5" t="n">
        <v>4171.29</v>
      </c>
      <c r="O17" s="5">
        <f>SUM(C17:N17)</f>
        <v/>
      </c>
    </row>
    <row r="18">
      <c r="A18" s="2" t="inlineStr">
        <is>
          <t>M017</t>
        </is>
      </c>
      <c r="B18" s="2" t="inlineStr">
        <is>
          <t>Ferrero Anna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>
        <f>SUM(C18:N18)</f>
        <v/>
      </c>
    </row>
    <row r="19">
      <c r="A19" s="6" t="inlineStr">
        <is>
          <t>Totale</t>
        </is>
      </c>
      <c r="B19" s="7" t="n"/>
      <c r="C19" s="9">
        <f>SUM(C2:C18)</f>
        <v/>
      </c>
      <c r="D19" s="9">
        <f>SUM(D2:D18)</f>
        <v/>
      </c>
      <c r="E19" s="9">
        <f>SUM(E2:E18)</f>
        <v/>
      </c>
      <c r="F19" s="9">
        <f>SUM(F2:F18)</f>
        <v/>
      </c>
      <c r="G19" s="9">
        <f>SUM(G2:G18)</f>
        <v/>
      </c>
      <c r="H19" s="9">
        <f>SUM(H2:H18)</f>
        <v/>
      </c>
      <c r="I19" s="9">
        <f>SUM(I2:I18)</f>
        <v/>
      </c>
      <c r="J19" s="9">
        <f>SUM(J2:J18)</f>
        <v/>
      </c>
      <c r="K19" s="9">
        <f>SUM(K2:K18)</f>
        <v/>
      </c>
      <c r="L19" s="9">
        <f>SUM(L2:L18)</f>
        <v/>
      </c>
      <c r="M19" s="9">
        <f>SUM(M2:M18)</f>
        <v/>
      </c>
      <c r="N19" s="9">
        <f>SUM(N2:N18)</f>
        <v/>
      </c>
      <c r="O19" s="9">
        <f>SUM(O2:O18)</f>
        <v/>
      </c>
    </row>
  </sheetData>
  <autoFilter ref="A1:O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6" customWidth="1" min="4" max="4"/>
    <col width="14" customWidth="1" min="5" max="5"/>
    <col width="24" customWidth="1" min="6" max="6"/>
    <col width="16" customWidth="1" min="7" max="7"/>
  </cols>
  <sheetData>
    <row r="1" ht="32" customHeight="1">
      <c r="A1" s="1" t="inlineStr">
        <is>
          <t>Matricola</t>
        </is>
      </c>
      <c r="B1" s="1" t="inlineStr">
        <is>
          <t>Dipendente</t>
        </is>
      </c>
      <c r="C1" s="1" t="inlineStr">
        <is>
          <t>Retribuzioni lorde</t>
        </is>
      </c>
      <c r="D1" s="1" t="inlineStr">
        <is>
          <t>Oneri sociali</t>
        </is>
      </c>
      <c r="E1" s="1" t="inlineStr">
        <is>
          <t>TFR</t>
        </is>
      </c>
      <c r="F1" s="1" t="inlineStr">
        <is>
          <t>Altri costi (buoni pasto, welfare)</t>
        </is>
      </c>
      <c r="G1" s="1" t="inlineStr">
        <is>
          <t>Costo totale</t>
        </is>
      </c>
    </row>
    <row r="2">
      <c r="A2" s="2" t="inlineStr">
        <is>
          <t>M001</t>
        </is>
      </c>
      <c r="B2" s="2" t="inlineStr">
        <is>
          <t>Ferraris Giulia</t>
        </is>
      </c>
      <c r="C2" s="5" t="n">
        <v>63264.48</v>
      </c>
      <c r="D2" s="5" t="n">
        <v>18821.18</v>
      </c>
      <c r="E2" s="5" t="n">
        <v>4566.9</v>
      </c>
      <c r="F2" s="5" t="n">
        <v>1393.8</v>
      </c>
      <c r="G2" s="5">
        <f>SUM(C2:F2)</f>
        <v/>
      </c>
    </row>
    <row r="3">
      <c r="A3" s="2" t="inlineStr">
        <is>
          <t>M002</t>
        </is>
      </c>
      <c r="B3" s="2" t="inlineStr">
        <is>
          <t>Gallo Matteo</t>
        </is>
      </c>
      <c r="C3" s="5" t="n">
        <v>55964.74</v>
      </c>
      <c r="D3" s="5" t="n">
        <v>16649.51</v>
      </c>
      <c r="E3" s="5" t="n">
        <v>4039.95</v>
      </c>
      <c r="F3" s="5" t="n">
        <v>1232.97</v>
      </c>
      <c r="G3" s="5">
        <f>SUM(C3:F3)</f>
        <v/>
      </c>
    </row>
    <row r="4">
      <c r="A4" s="2" t="inlineStr">
        <is>
          <t>M003</t>
        </is>
      </c>
      <c r="B4" s="2" t="inlineStr">
        <is>
          <t>Bertone Andrea</t>
        </is>
      </c>
      <c r="C4" s="5" t="n">
        <v>46231.78</v>
      </c>
      <c r="D4" s="5" t="n">
        <v>13753.96</v>
      </c>
      <c r="E4" s="5" t="n">
        <v>3337.36</v>
      </c>
      <c r="F4" s="5" t="n">
        <v>1018.54</v>
      </c>
      <c r="G4" s="5">
        <f>SUM(C4:F4)</f>
        <v/>
      </c>
    </row>
    <row r="5">
      <c r="A5" s="2" t="inlineStr">
        <is>
          <t>M004</t>
        </is>
      </c>
      <c r="B5" s="2" t="inlineStr">
        <is>
          <t>Marchetti Elena</t>
        </is>
      </c>
      <c r="C5" s="5" t="n">
        <v>45826.2</v>
      </c>
      <c r="D5" s="5" t="n">
        <v>13633.29</v>
      </c>
      <c r="E5" s="5" t="n">
        <v>3308.08</v>
      </c>
      <c r="F5" s="5" t="n">
        <v>1009.61</v>
      </c>
      <c r="G5" s="5">
        <f>SUM(C5:F5)</f>
        <v/>
      </c>
    </row>
    <row r="6">
      <c r="A6" s="2" t="inlineStr">
        <is>
          <t>M005</t>
        </is>
      </c>
      <c r="B6" s="2" t="inlineStr">
        <is>
          <t>Costa Luca</t>
        </is>
      </c>
      <c r="C6" s="5" t="n">
        <v>40148.64</v>
      </c>
      <c r="D6" s="5" t="n">
        <v>11944.22</v>
      </c>
      <c r="E6" s="5" t="n">
        <v>2898.23</v>
      </c>
      <c r="F6" s="5" t="n">
        <v>884.52</v>
      </c>
      <c r="G6" s="5">
        <f>SUM(C6:F6)</f>
        <v/>
      </c>
    </row>
    <row r="7">
      <c r="A7" s="2" t="inlineStr">
        <is>
          <t>M006</t>
        </is>
      </c>
      <c r="B7" s="2" t="inlineStr">
        <is>
          <t>Ricci Chiara</t>
        </is>
      </c>
      <c r="C7" s="5" t="n">
        <v>39580.92</v>
      </c>
      <c r="D7" s="5" t="n">
        <v>11775.32</v>
      </c>
      <c r="E7" s="5" t="n">
        <v>2857.25</v>
      </c>
      <c r="F7" s="5" t="n">
        <v>872.02</v>
      </c>
      <c r="G7" s="5">
        <f>SUM(C7:F7)</f>
        <v/>
      </c>
    </row>
    <row r="8">
      <c r="A8" s="2" t="inlineStr">
        <is>
          <t>M007</t>
        </is>
      </c>
      <c r="B8" s="2" t="inlineStr">
        <is>
          <t>Moretti Davide</t>
        </is>
      </c>
      <c r="C8" s="5" t="n">
        <v>38932.04</v>
      </c>
      <c r="D8" s="5" t="n">
        <v>11582.28</v>
      </c>
      <c r="E8" s="5" t="n">
        <v>2810.41</v>
      </c>
      <c r="F8" s="5" t="n">
        <v>857.72</v>
      </c>
      <c r="G8" s="5">
        <f>SUM(C8:F8)</f>
        <v/>
      </c>
    </row>
    <row r="9">
      <c r="A9" s="2" t="inlineStr">
        <is>
          <t>M008</t>
        </is>
      </c>
      <c r="B9" s="2" t="inlineStr">
        <is>
          <t>Conti Federica</t>
        </is>
      </c>
      <c r="C9" s="5" t="n">
        <v>49476.12</v>
      </c>
      <c r="D9" s="5" t="n">
        <v>14719.15</v>
      </c>
      <c r="E9" s="5" t="n">
        <v>3571.56</v>
      </c>
      <c r="F9" s="5" t="n">
        <v>1090.02</v>
      </c>
      <c r="G9" s="5">
        <f>SUM(C9:F9)</f>
        <v/>
      </c>
    </row>
    <row r="10">
      <c r="A10" s="2" t="inlineStr">
        <is>
          <t>M009</t>
        </is>
      </c>
      <c r="B10" s="2" t="inlineStr">
        <is>
          <t>De Luca Simone</t>
        </is>
      </c>
      <c r="C10" s="5" t="n">
        <v>38526.46</v>
      </c>
      <c r="D10" s="5" t="n">
        <v>11461.62</v>
      </c>
      <c r="E10" s="5" t="n">
        <v>2781.13</v>
      </c>
      <c r="F10" s="5" t="n">
        <v>848.79</v>
      </c>
      <c r="G10" s="5">
        <f>SUM(C10:F10)</f>
        <v/>
      </c>
    </row>
    <row r="11">
      <c r="A11" s="2" t="inlineStr">
        <is>
          <t>M010</t>
        </is>
      </c>
      <c r="B11" s="2" t="inlineStr">
        <is>
          <t>Barbieri Laura</t>
        </is>
      </c>
      <c r="C11" s="5" t="n">
        <v>38120.9</v>
      </c>
      <c r="D11" s="5" t="n">
        <v>11340.97</v>
      </c>
      <c r="E11" s="5" t="n">
        <v>2751.85</v>
      </c>
      <c r="F11" s="5" t="n">
        <v>839.85</v>
      </c>
      <c r="G11" s="5">
        <f>SUM(C11:F11)</f>
        <v/>
      </c>
    </row>
    <row r="12">
      <c r="A12" s="2" t="inlineStr">
        <is>
          <t>M011</t>
        </is>
      </c>
      <c r="B12" s="2" t="inlineStr">
        <is>
          <t>Fontana Paola</t>
        </is>
      </c>
      <c r="C12" s="5" t="n">
        <v>27171.32</v>
      </c>
      <c r="D12" s="5" t="n">
        <v>8083.47</v>
      </c>
      <c r="E12" s="5" t="n">
        <v>1961.43</v>
      </c>
      <c r="F12" s="5" t="n">
        <v>598.62</v>
      </c>
      <c r="G12" s="5">
        <f>SUM(C12:F12)</f>
        <v/>
      </c>
    </row>
    <row r="13">
      <c r="A13" s="2" t="inlineStr">
        <is>
          <t>M012</t>
        </is>
      </c>
      <c r="B13" s="2" t="inlineStr">
        <is>
          <t>Esposito Marco</t>
        </is>
      </c>
      <c r="C13" s="5" t="n">
        <v>37715.42</v>
      </c>
      <c r="D13" s="5" t="n">
        <v>11220.34</v>
      </c>
      <c r="E13" s="5" t="n">
        <v>2722.58</v>
      </c>
      <c r="F13" s="5" t="n">
        <v>830.92</v>
      </c>
      <c r="G13" s="5">
        <f>SUM(C13:F13)</f>
        <v/>
      </c>
    </row>
    <row r="14">
      <c r="A14" s="2" t="inlineStr">
        <is>
          <t>M013</t>
        </is>
      </c>
      <c r="B14" s="2" t="inlineStr">
        <is>
          <t>Villa Giorgia</t>
        </is>
      </c>
      <c r="C14" s="5" t="n">
        <v>29847.86</v>
      </c>
      <c r="D14" s="5" t="n">
        <v>8879.74</v>
      </c>
      <c r="E14" s="5" t="n">
        <v>2154.64</v>
      </c>
      <c r="F14" s="5" t="n">
        <v>657.59</v>
      </c>
      <c r="G14" s="5">
        <f>SUM(C14:F14)</f>
        <v/>
      </c>
    </row>
    <row r="15">
      <c r="A15" s="2" t="inlineStr">
        <is>
          <t>M014</t>
        </is>
      </c>
      <c r="B15" s="2" t="inlineStr">
        <is>
          <t>Greco Fabio</t>
        </is>
      </c>
      <c r="C15" s="5" t="n">
        <v>43621.83</v>
      </c>
      <c r="D15" s="5" t="n">
        <v>12977.49</v>
      </c>
      <c r="E15" s="5" t="n">
        <v>3148.95</v>
      </c>
      <c r="F15" s="5" t="n">
        <v>961.04</v>
      </c>
      <c r="G15" s="5">
        <f>SUM(C15:F15)</f>
        <v/>
      </c>
    </row>
    <row r="16">
      <c r="A16" s="2" t="inlineStr">
        <is>
          <t>M015</t>
        </is>
      </c>
      <c r="B16" s="2" t="inlineStr">
        <is>
          <t>Rossetti Valentina</t>
        </is>
      </c>
      <c r="C16" s="5" t="n">
        <v>37228.72</v>
      </c>
      <c r="D16" s="5" t="n">
        <v>11075.54</v>
      </c>
      <c r="E16" s="5" t="n">
        <v>2687.45</v>
      </c>
      <c r="F16" s="5" t="n">
        <v>820.1900000000001</v>
      </c>
      <c r="G16" s="5">
        <f>SUM(C16:F16)</f>
        <v/>
      </c>
    </row>
    <row r="17">
      <c r="A17" s="2" t="inlineStr">
        <is>
          <t>M016</t>
        </is>
      </c>
      <c r="B17" s="2" t="inlineStr">
        <is>
          <t>Mancini Nicolò</t>
        </is>
      </c>
      <c r="C17" s="5" t="n">
        <v>8342.57</v>
      </c>
      <c r="D17" s="5" t="n">
        <v>2481.92</v>
      </c>
      <c r="E17" s="5" t="n">
        <v>602.23</v>
      </c>
      <c r="F17" s="5" t="n">
        <v>183.8</v>
      </c>
      <c r="G17" s="5">
        <f>SUM(C17:F17)</f>
        <v/>
      </c>
    </row>
    <row r="18">
      <c r="A18" s="2" t="inlineStr">
        <is>
          <t>M017</t>
        </is>
      </c>
      <c r="B18" s="2" t="inlineStr">
        <is>
          <t>Ferrero Anna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>
        <f>SUM(C18:F18)</f>
        <v/>
      </c>
    </row>
    <row r="19">
      <c r="A19" s="6" t="inlineStr">
        <is>
          <t>Totale</t>
        </is>
      </c>
      <c r="B19" s="7" t="n"/>
      <c r="C19" s="9">
        <f>SUM(C2:C18)</f>
        <v/>
      </c>
      <c r="D19" s="9">
        <f>SUM(D2:D18)</f>
        <v/>
      </c>
      <c r="E19" s="9">
        <f>SUM(E2:E18)</f>
        <v/>
      </c>
      <c r="F19" s="9">
        <f>SUM(F2:F18)</f>
        <v/>
      </c>
      <c r="G19" s="9">
        <f>SUM(G2:G18)</f>
        <v/>
      </c>
    </row>
  </sheetData>
  <autoFilter ref="A1:G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20" customWidth="1" min="12" max="12"/>
  </cols>
  <sheetData>
    <row r="1" ht="32" customHeight="1">
      <c r="A1" s="1" t="inlineStr">
        <is>
          <t>Matricola</t>
        </is>
      </c>
      <c r="B1" s="1" t="inlineStr">
        <is>
          <t>Dipendente</t>
        </is>
      </c>
      <c r="C1" s="1" t="inlineStr">
        <is>
          <t>Gennaio</t>
        </is>
      </c>
      <c r="D1" s="1" t="inlineStr">
        <is>
          <t>Febbraio</t>
        </is>
      </c>
      <c r="E1" s="1" t="inlineStr">
        <is>
          <t>Marzo</t>
        </is>
      </c>
      <c r="F1" s="1" t="inlineStr">
        <is>
          <t>Aprile</t>
        </is>
      </c>
      <c r="G1" s="1" t="inlineStr">
        <is>
          <t>Maggio</t>
        </is>
      </c>
      <c r="H1" s="1" t="inlineStr">
        <is>
          <t>Giugno</t>
        </is>
      </c>
      <c r="I1" s="1" t="inlineStr">
        <is>
          <t>Luglio</t>
        </is>
      </c>
      <c r="J1" s="1" t="inlineStr">
        <is>
          <t>Agosto</t>
        </is>
      </c>
      <c r="K1" s="1" t="inlineStr">
        <is>
          <t>Totale gen-ago</t>
        </is>
      </c>
      <c r="L1" s="1" t="inlineStr">
        <is>
          <t>Netto mensile tipo (EUR)</t>
        </is>
      </c>
    </row>
    <row r="2">
      <c r="A2" s="2" t="inlineStr">
        <is>
          <t>M001</t>
        </is>
      </c>
      <c r="B2" s="2" t="inlineStr">
        <is>
          <t>Ferraris Giulia</t>
        </is>
      </c>
      <c r="C2" s="5" t="n">
        <v>4035.71</v>
      </c>
      <c r="D2" s="5" t="n">
        <v>4035.71</v>
      </c>
      <c r="E2" s="5" t="n">
        <v>4035.71</v>
      </c>
      <c r="F2" s="5" t="n">
        <v>4035.71</v>
      </c>
      <c r="G2" s="5" t="n">
        <v>4035.71</v>
      </c>
      <c r="H2" s="5" t="n">
        <v>8071.42</v>
      </c>
      <c r="I2" s="5" t="n">
        <v>4035.71</v>
      </c>
      <c r="J2" s="5" t="n">
        <v>4035.71</v>
      </c>
      <c r="K2" s="5">
        <f>SUM(C2:J2)</f>
        <v/>
      </c>
      <c r="L2" s="2" t="n">
        <v>2519.32</v>
      </c>
    </row>
    <row r="3">
      <c r="A3" s="2" t="inlineStr">
        <is>
          <t>M002</t>
        </is>
      </c>
      <c r="B3" s="2" t="inlineStr">
        <is>
          <t>Gallo Matteo</t>
        </is>
      </c>
      <c r="C3" s="5" t="n">
        <v>3571.43</v>
      </c>
      <c r="D3" s="5" t="n">
        <v>3571.43</v>
      </c>
      <c r="E3" s="5" t="n">
        <v>3571.43</v>
      </c>
      <c r="F3" s="5" t="n">
        <v>3571.43</v>
      </c>
      <c r="G3" s="5" t="n">
        <v>3571.43</v>
      </c>
      <c r="H3" s="5" t="n">
        <v>7142.86</v>
      </c>
      <c r="I3" s="5" t="n">
        <v>3571.43</v>
      </c>
      <c r="J3" s="5" t="n">
        <v>3571.43</v>
      </c>
      <c r="K3" s="5">
        <f>SUM(C3:J3)</f>
        <v/>
      </c>
      <c r="L3" s="2" t="n">
        <v>2292.2</v>
      </c>
    </row>
    <row r="4">
      <c r="A4" s="2" t="inlineStr">
        <is>
          <t>M003</t>
        </is>
      </c>
      <c r="B4" s="2" t="inlineStr">
        <is>
          <t>Bertone Andrea</t>
        </is>
      </c>
      <c r="C4" s="5" t="n">
        <v>2950</v>
      </c>
      <c r="D4" s="5" t="n">
        <v>2950</v>
      </c>
      <c r="E4" s="5" t="n">
        <v>2950</v>
      </c>
      <c r="F4" s="5" t="n">
        <v>2950</v>
      </c>
      <c r="G4" s="5" t="n">
        <v>2950</v>
      </c>
      <c r="H4" s="5" t="n">
        <v>5900</v>
      </c>
      <c r="I4" s="5" t="n">
        <v>2950</v>
      </c>
      <c r="J4" s="5" t="n">
        <v>2950</v>
      </c>
      <c r="K4" s="5">
        <f>SUM(C4:J4)</f>
        <v/>
      </c>
      <c r="L4" s="2" t="n">
        <v>1989.08</v>
      </c>
    </row>
    <row r="5">
      <c r="A5" s="2" t="inlineStr">
        <is>
          <t>M004</t>
        </is>
      </c>
      <c r="B5" s="2" t="inlineStr">
        <is>
          <t>Marchetti Elena</t>
        </is>
      </c>
      <c r="C5" s="5" t="n">
        <v>2921.43</v>
      </c>
      <c r="D5" s="5" t="n">
        <v>2921.43</v>
      </c>
      <c r="E5" s="5" t="n">
        <v>2921.43</v>
      </c>
      <c r="F5" s="5" t="n">
        <v>2921.43</v>
      </c>
      <c r="G5" s="5" t="n">
        <v>2921.43</v>
      </c>
      <c r="H5" s="5" t="n">
        <v>5842.86</v>
      </c>
      <c r="I5" s="5" t="n">
        <v>2921.43</v>
      </c>
      <c r="J5" s="5" t="n">
        <v>2921.43</v>
      </c>
      <c r="K5" s="5">
        <f>SUM(C5:J5)</f>
        <v/>
      </c>
      <c r="L5" s="2" t="n">
        <v>1975.13</v>
      </c>
    </row>
    <row r="6">
      <c r="A6" s="2" t="inlineStr">
        <is>
          <t>M005</t>
        </is>
      </c>
      <c r="B6" s="2" t="inlineStr">
        <is>
          <t>Costa Luca</t>
        </is>
      </c>
      <c r="C6" s="5" t="n">
        <v>2564.29</v>
      </c>
      <c r="D6" s="5" t="n">
        <v>2564.29</v>
      </c>
      <c r="E6" s="5" t="n">
        <v>2564.29</v>
      </c>
      <c r="F6" s="5" t="n">
        <v>2564.29</v>
      </c>
      <c r="G6" s="5" t="n">
        <v>2564.29</v>
      </c>
      <c r="H6" s="5" t="n">
        <v>5128.58</v>
      </c>
      <c r="I6" s="5" t="n">
        <v>2564.29</v>
      </c>
      <c r="J6" s="5" t="n">
        <v>2564.29</v>
      </c>
      <c r="K6" s="5">
        <f>SUM(C6:J6)</f>
        <v/>
      </c>
      <c r="L6" s="2" t="n">
        <v>1800.93</v>
      </c>
    </row>
    <row r="7">
      <c r="A7" s="2" t="inlineStr">
        <is>
          <t>M006</t>
        </is>
      </c>
      <c r="B7" s="2" t="inlineStr">
        <is>
          <t>Ricci Chiara</t>
        </is>
      </c>
      <c r="C7" s="5" t="n">
        <v>2528.57</v>
      </c>
      <c r="D7" s="5" t="n">
        <v>2528.57</v>
      </c>
      <c r="E7" s="5" t="n">
        <v>2528.57</v>
      </c>
      <c r="F7" s="5" t="n">
        <v>2528.57</v>
      </c>
      <c r="G7" s="5" t="n">
        <v>2528.57</v>
      </c>
      <c r="H7" s="5" t="n">
        <v>5057.14</v>
      </c>
      <c r="I7" s="5" t="n">
        <v>2528.57</v>
      </c>
      <c r="J7" s="5" t="n">
        <v>2528.57</v>
      </c>
      <c r="K7" s="5">
        <f>SUM(C7:J7)</f>
        <v/>
      </c>
      <c r="L7" s="2" t="n">
        <v>1783.5</v>
      </c>
    </row>
    <row r="8">
      <c r="A8" s="2" t="inlineStr">
        <is>
          <t>M007</t>
        </is>
      </c>
      <c r="B8" s="2" t="inlineStr">
        <is>
          <t>Moretti Davide</t>
        </is>
      </c>
      <c r="C8" s="5" t="n">
        <v>2485.71</v>
      </c>
      <c r="D8" s="5" t="n">
        <v>2485.71</v>
      </c>
      <c r="E8" s="5" t="n">
        <v>2485.71</v>
      </c>
      <c r="F8" s="5" t="n">
        <v>2485.71</v>
      </c>
      <c r="G8" s="5" t="n">
        <v>2485.71</v>
      </c>
      <c r="H8" s="5" t="n">
        <v>4971.42</v>
      </c>
      <c r="I8" s="5" t="n">
        <v>2485.71</v>
      </c>
      <c r="J8" s="5" t="n">
        <v>2485.71</v>
      </c>
      <c r="K8" s="5">
        <f>SUM(C8:J8)</f>
        <v/>
      </c>
      <c r="L8" s="2" t="n">
        <v>1762.59</v>
      </c>
    </row>
    <row r="9">
      <c r="A9" s="2" t="inlineStr">
        <is>
          <t>M008</t>
        </is>
      </c>
      <c r="B9" s="2" t="inlineStr">
        <is>
          <t>Conti Federica</t>
        </is>
      </c>
      <c r="C9" s="5" t="n">
        <v>3157.14</v>
      </c>
      <c r="D9" s="5" t="n">
        <v>3157.14</v>
      </c>
      <c r="E9" s="5" t="n">
        <v>3157.14</v>
      </c>
      <c r="F9" s="5" t="n">
        <v>3157.14</v>
      </c>
      <c r="G9" s="5" t="n">
        <v>3157.14</v>
      </c>
      <c r="H9" s="5" t="n">
        <v>6314.28</v>
      </c>
      <c r="I9" s="5" t="n">
        <v>3157.14</v>
      </c>
      <c r="J9" s="5" t="n">
        <v>3157.14</v>
      </c>
      <c r="K9" s="5">
        <f>SUM(C9:J9)</f>
        <v/>
      </c>
      <c r="L9" s="2" t="n">
        <v>2090.12</v>
      </c>
    </row>
    <row r="10">
      <c r="A10" s="2" t="inlineStr">
        <is>
          <t>M009</t>
        </is>
      </c>
      <c r="B10" s="2" t="inlineStr">
        <is>
          <t>De Luca Simone</t>
        </is>
      </c>
      <c r="C10" s="5" t="n">
        <v>2457.14</v>
      </c>
      <c r="D10" s="5" t="n">
        <v>2457.14</v>
      </c>
      <c r="E10" s="5" t="n">
        <v>2457.14</v>
      </c>
      <c r="F10" s="5" t="n">
        <v>2457.14</v>
      </c>
      <c r="G10" s="5" t="n">
        <v>2457.14</v>
      </c>
      <c r="H10" s="5" t="n">
        <v>4914.28</v>
      </c>
      <c r="I10" s="5" t="n">
        <v>2457.14</v>
      </c>
      <c r="J10" s="5" t="n">
        <v>2457.14</v>
      </c>
      <c r="K10" s="5">
        <f>SUM(C10:J10)</f>
        <v/>
      </c>
      <c r="L10" s="2" t="n">
        <v>1748.64</v>
      </c>
    </row>
    <row r="11">
      <c r="A11" s="2" t="inlineStr">
        <is>
          <t>M010</t>
        </is>
      </c>
      <c r="B11" s="2" t="inlineStr">
        <is>
          <t>Barbieri Laura</t>
        </is>
      </c>
      <c r="C11" s="5" t="n">
        <v>2435.71</v>
      </c>
      <c r="D11" s="5" t="n">
        <v>2435.71</v>
      </c>
      <c r="E11" s="5" t="n">
        <v>2435.71</v>
      </c>
      <c r="F11" s="5" t="n">
        <v>2435.71</v>
      </c>
      <c r="G11" s="5" t="n">
        <v>2435.71</v>
      </c>
      <c r="H11" s="5" t="n">
        <v>4871.42</v>
      </c>
      <c r="I11" s="5" t="n">
        <v>2435.71</v>
      </c>
      <c r="J11" s="5" t="n">
        <v>2435.71</v>
      </c>
      <c r="K11" s="5">
        <f>SUM(C11:J11)</f>
        <v/>
      </c>
      <c r="L11" s="2" t="n">
        <v>1738.21</v>
      </c>
    </row>
    <row r="12">
      <c r="A12" s="2" t="inlineStr">
        <is>
          <t>M011</t>
        </is>
      </c>
      <c r="B12" s="2" t="inlineStr">
        <is>
          <t>Fontana Paola</t>
        </is>
      </c>
      <c r="C12" s="5" t="n">
        <v>1735.71</v>
      </c>
      <c r="D12" s="5" t="n">
        <v>1735.71</v>
      </c>
      <c r="E12" s="5" t="n">
        <v>1735.71</v>
      </c>
      <c r="F12" s="5" t="n">
        <v>1735.71</v>
      </c>
      <c r="G12" s="5" t="n">
        <v>1735.71</v>
      </c>
      <c r="H12" s="5" t="n">
        <v>3471.42</v>
      </c>
      <c r="I12" s="5" t="n">
        <v>1735.71</v>
      </c>
      <c r="J12" s="5" t="n">
        <v>1735.71</v>
      </c>
      <c r="K12" s="5">
        <f>SUM(C12:J12)</f>
        <v/>
      </c>
      <c r="L12" s="2" t="n">
        <v>1347.89</v>
      </c>
    </row>
    <row r="13">
      <c r="A13" s="2" t="inlineStr">
        <is>
          <t>M012</t>
        </is>
      </c>
      <c r="B13" s="2" t="inlineStr">
        <is>
          <t>Esposito Marco</t>
        </is>
      </c>
      <c r="C13" s="5" t="n">
        <v>2407.14</v>
      </c>
      <c r="D13" s="5" t="n">
        <v>2407.14</v>
      </c>
      <c r="E13" s="5" t="n">
        <v>2407.14</v>
      </c>
      <c r="F13" s="5" t="n">
        <v>2407.14</v>
      </c>
      <c r="G13" s="5" t="n">
        <v>2407.14</v>
      </c>
      <c r="H13" s="5" t="n">
        <v>4814.28</v>
      </c>
      <c r="I13" s="5" t="n">
        <v>2407.14</v>
      </c>
      <c r="J13" s="5" t="n">
        <v>2407.14</v>
      </c>
      <c r="K13" s="5">
        <f>SUM(C13:J13)</f>
        <v/>
      </c>
      <c r="L13" s="2" t="n">
        <v>1724.27</v>
      </c>
    </row>
    <row r="14">
      <c r="A14" s="2" t="inlineStr">
        <is>
          <t>M013</t>
        </is>
      </c>
      <c r="B14" s="2" t="inlineStr">
        <is>
          <t>Villa Giorgia</t>
        </is>
      </c>
      <c r="C14" s="5" t="n">
        <v>1907.14</v>
      </c>
      <c r="D14" s="5" t="n">
        <v>1907.14</v>
      </c>
      <c r="E14" s="5" t="n">
        <v>1907.14</v>
      </c>
      <c r="F14" s="5" t="n">
        <v>1907.14</v>
      </c>
      <c r="G14" s="5" t="n">
        <v>1907.14</v>
      </c>
      <c r="H14" s="5" t="n">
        <v>3814.28</v>
      </c>
      <c r="I14" s="5" t="n">
        <v>1907.14</v>
      </c>
      <c r="J14" s="5" t="n">
        <v>1907.14</v>
      </c>
      <c r="K14" s="5">
        <f>SUM(C14:J14)</f>
        <v/>
      </c>
      <c r="L14" s="2" t="n">
        <v>1449.46</v>
      </c>
    </row>
    <row r="15">
      <c r="A15" s="2" t="inlineStr">
        <is>
          <t>M014</t>
        </is>
      </c>
      <c r="B15" s="2" t="inlineStr">
        <is>
          <t>Greco Fabio</t>
        </is>
      </c>
      <c r="C15" s="5" t="n">
        <v>2871.43</v>
      </c>
      <c r="D15" s="5" t="n">
        <v>2871.43</v>
      </c>
      <c r="E15" s="5" t="n">
        <v>2871.43</v>
      </c>
      <c r="F15" s="5" t="n">
        <v>2871.43</v>
      </c>
      <c r="G15" s="5" t="n">
        <v>2871.43</v>
      </c>
      <c r="H15" s="5" t="n">
        <v>5742.86</v>
      </c>
      <c r="I15" s="5" t="n">
        <v>2871.43</v>
      </c>
      <c r="J15" s="5" t="n">
        <v>2871.43</v>
      </c>
      <c r="K15" s="5">
        <f>SUM(C15:J15)</f>
        <v/>
      </c>
      <c r="L15" s="2" t="n">
        <v>1950.75</v>
      </c>
    </row>
    <row r="16">
      <c r="A16" s="2" t="inlineStr">
        <is>
          <t>M015</t>
        </is>
      </c>
      <c r="B16" s="2" t="inlineStr">
        <is>
          <t>Rossetti Valentina</t>
        </is>
      </c>
      <c r="C16" s="5" t="n">
        <v>2792.86</v>
      </c>
      <c r="D16" s="5" t="n">
        <v>2792.86</v>
      </c>
      <c r="E16" s="5" t="n">
        <v>2792.86</v>
      </c>
      <c r="F16" s="5" t="n">
        <v>2792.86</v>
      </c>
      <c r="G16" s="5" t="n">
        <v>2792.86</v>
      </c>
      <c r="H16" s="5" t="n">
        <v>5585.72</v>
      </c>
      <c r="I16" s="5" t="n">
        <v>2792.86</v>
      </c>
      <c r="J16" s="5" t="n">
        <v>2792.86</v>
      </c>
      <c r="K16" s="5">
        <f>SUM(C16:J16)</f>
        <v/>
      </c>
      <c r="L16" s="2" t="n">
        <v>1912.43</v>
      </c>
    </row>
    <row r="17">
      <c r="A17" s="2" t="inlineStr">
        <is>
          <t>M016</t>
        </is>
      </c>
      <c r="B17" s="2" t="inlineStr">
        <is>
          <t>Mancini Nicolò</t>
        </is>
      </c>
      <c r="C17" s="5" t="n">
        <v>1864.29</v>
      </c>
      <c r="D17" s="5" t="n">
        <v>1864.29</v>
      </c>
      <c r="E17" s="5" t="n">
        <v>1864.29</v>
      </c>
      <c r="F17" s="5" t="n">
        <v>1864.29</v>
      </c>
      <c r="G17" s="5" t="n">
        <v>1864.29</v>
      </c>
      <c r="H17" s="5" t="n">
        <v>3728.58</v>
      </c>
      <c r="I17" s="5" t="n">
        <v>1864.29</v>
      </c>
      <c r="J17" s="5" t="n">
        <v>1864.29</v>
      </c>
      <c r="K17" s="5">
        <f>SUM(C17:J17)</f>
        <v/>
      </c>
      <c r="L17" s="2" t="n">
        <v>1424.06</v>
      </c>
    </row>
    <row r="18">
      <c r="A18" s="2" t="inlineStr">
        <is>
          <t>M017</t>
        </is>
      </c>
      <c r="B18" s="2" t="inlineStr">
        <is>
          <t>Ferrero Anna</t>
        </is>
      </c>
      <c r="C18" s="5" t="n">
        <v>0</v>
      </c>
      <c r="D18" s="5" t="n">
        <v>1835.71</v>
      </c>
      <c r="E18" s="5" t="n">
        <v>1835.71</v>
      </c>
      <c r="F18" s="5" t="n">
        <v>1835.71</v>
      </c>
      <c r="G18" s="5" t="n">
        <v>1835.71</v>
      </c>
      <c r="H18" s="5" t="n">
        <v>3671.42</v>
      </c>
      <c r="I18" s="5" t="n">
        <v>1835.71</v>
      </c>
      <c r="J18" s="5" t="n">
        <v>1835.71</v>
      </c>
      <c r="K18" s="5">
        <f>SUM(C18:J18)</f>
        <v/>
      </c>
      <c r="L18" s="2" t="n">
        <v>1407.14</v>
      </c>
    </row>
    <row r="19">
      <c r="A19" s="6" t="inlineStr">
        <is>
          <t>Totale</t>
        </is>
      </c>
      <c r="B19" s="7" t="n"/>
      <c r="C19" s="9">
        <f>SUM(C2:C18)</f>
        <v/>
      </c>
      <c r="D19" s="9">
        <f>SUM(D2:D18)</f>
        <v/>
      </c>
      <c r="E19" s="9">
        <f>SUM(E2:E18)</f>
        <v/>
      </c>
      <c r="F19" s="9">
        <f>SUM(F2:F18)</f>
        <v/>
      </c>
      <c r="G19" s="9">
        <f>SUM(G2:G18)</f>
        <v/>
      </c>
      <c r="H19" s="9">
        <f>SUM(H2:H18)</f>
        <v/>
      </c>
      <c r="I19" s="9">
        <f>SUM(I2:I18)</f>
        <v/>
      </c>
      <c r="J19" s="9">
        <f>SUM(J2:J18)</f>
        <v/>
      </c>
      <c r="K19" s="7" t="n"/>
      <c r="L19" s="7" t="n"/>
    </row>
  </sheetData>
  <autoFilter ref="A1:L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8" customWidth="1" min="4" max="4"/>
    <col width="18" customWidth="1" min="5" max="5"/>
    <col width="22" customWidth="1" min="6" max="6"/>
    <col width="18" customWidth="1" min="7" max="7"/>
    <col width="16" customWidth="1" min="8" max="8"/>
    <col width="18" customWidth="1" min="9" max="9"/>
    <col width="24" customWidth="1" min="10" max="10"/>
  </cols>
  <sheetData>
    <row r="1" ht="32" customHeight="1">
      <c r="A1" s="1" t="inlineStr">
        <is>
          <t>Matricola</t>
        </is>
      </c>
      <c r="B1" s="1" t="inlineStr">
        <is>
          <t>Dipendente</t>
        </is>
      </c>
      <c r="C1" s="1" t="inlineStr">
        <is>
          <t>Ore contrattuali annue</t>
        </is>
      </c>
      <c r="D1" s="1" t="inlineStr">
        <is>
          <t>Ferie maturate (giorni)</t>
        </is>
      </c>
      <c r="E1" s="1" t="inlineStr">
        <is>
          <t>Ferie godute (giorni)</t>
        </is>
      </c>
      <c r="F1" s="1" t="inlineStr">
        <is>
          <t>Permessi ROL maturati (ore)</t>
        </is>
      </c>
      <c r="G1" s="1" t="inlineStr">
        <is>
          <t>Permessi goduti (ore)</t>
        </is>
      </c>
      <c r="H1" s="1" t="inlineStr">
        <is>
          <t>Giorni di malattia</t>
        </is>
      </c>
      <c r="I1" s="1" t="inlineStr">
        <is>
          <t>Ore di straordinario</t>
        </is>
      </c>
      <c r="J1" s="1" t="inlineStr">
        <is>
          <t>Giorni di smart working extra</t>
        </is>
      </c>
    </row>
    <row r="2">
      <c r="A2" s="2" t="inlineStr">
        <is>
          <t>M001</t>
        </is>
      </c>
      <c r="B2" s="2" t="inlineStr">
        <is>
          <t>Ferraris Giulia</t>
        </is>
      </c>
      <c r="C2" s="2" t="n">
        <v>2080</v>
      </c>
      <c r="D2" s="10" t="n">
        <v>22</v>
      </c>
      <c r="E2" s="10" t="n">
        <v>18.2</v>
      </c>
      <c r="F2" s="2" t="n">
        <v>56</v>
      </c>
      <c r="G2" s="10" t="n">
        <v>9.699999999999999</v>
      </c>
      <c r="H2" s="2" t="n">
        <v>4</v>
      </c>
      <c r="I2" s="2" t="n">
        <v>16</v>
      </c>
      <c r="J2" s="2" t="n">
        <v>3</v>
      </c>
    </row>
    <row r="3">
      <c r="A3" s="2" t="inlineStr">
        <is>
          <t>M002</t>
        </is>
      </c>
      <c r="B3" s="2" t="inlineStr">
        <is>
          <t>Gallo Matteo</t>
        </is>
      </c>
      <c r="C3" s="2" t="n">
        <v>2080</v>
      </c>
      <c r="D3" s="10" t="n">
        <v>22</v>
      </c>
      <c r="E3" s="10" t="n">
        <v>21.2</v>
      </c>
      <c r="F3" s="2" t="n">
        <v>56</v>
      </c>
      <c r="G3" s="10" t="n">
        <v>37</v>
      </c>
      <c r="H3" s="2" t="n">
        <v>0</v>
      </c>
      <c r="I3" s="2" t="n">
        <v>3</v>
      </c>
      <c r="J3" s="2" t="n">
        <v>2</v>
      </c>
    </row>
    <row r="4">
      <c r="A4" s="2" t="inlineStr">
        <is>
          <t>M003</t>
        </is>
      </c>
      <c r="B4" s="2" t="inlineStr">
        <is>
          <t>Bertone Andrea</t>
        </is>
      </c>
      <c r="C4" s="2" t="n">
        <v>2080</v>
      </c>
      <c r="D4" s="10" t="n">
        <v>22</v>
      </c>
      <c r="E4" s="10" t="n">
        <v>21.9</v>
      </c>
      <c r="F4" s="2" t="n">
        <v>56</v>
      </c>
      <c r="G4" s="10" t="n">
        <v>36</v>
      </c>
      <c r="H4" s="2" t="n">
        <v>4</v>
      </c>
      <c r="I4" s="2" t="n">
        <v>5</v>
      </c>
      <c r="J4" s="2" t="n">
        <v>2</v>
      </c>
    </row>
    <row r="5">
      <c r="A5" s="2" t="inlineStr">
        <is>
          <t>M004</t>
        </is>
      </c>
      <c r="B5" s="2" t="inlineStr">
        <is>
          <t>Marchetti Elena</t>
        </is>
      </c>
      <c r="C5" s="2" t="n">
        <v>2080</v>
      </c>
      <c r="D5" s="10" t="n">
        <v>22</v>
      </c>
      <c r="E5" s="10" t="n">
        <v>18.1</v>
      </c>
      <c r="F5" s="2" t="n">
        <v>56</v>
      </c>
      <c r="G5" s="10" t="n">
        <v>9.9</v>
      </c>
      <c r="H5" s="2" t="n">
        <v>6</v>
      </c>
      <c r="I5" s="2" t="n">
        <v>6</v>
      </c>
      <c r="J5" s="2" t="n">
        <v>1</v>
      </c>
    </row>
    <row r="6">
      <c r="A6" s="2" t="inlineStr">
        <is>
          <t>M005</t>
        </is>
      </c>
      <c r="B6" s="2" t="inlineStr">
        <is>
          <t>Costa Luca</t>
        </is>
      </c>
      <c r="C6" s="2" t="n">
        <v>2080</v>
      </c>
      <c r="D6" s="10" t="n">
        <v>22</v>
      </c>
      <c r="E6" s="10" t="n">
        <v>21.4</v>
      </c>
      <c r="F6" s="2" t="n">
        <v>56</v>
      </c>
      <c r="G6" s="10" t="n">
        <v>43.6</v>
      </c>
      <c r="H6" s="2" t="n">
        <v>2</v>
      </c>
      <c r="I6" s="2" t="n">
        <v>2</v>
      </c>
      <c r="J6" s="2" t="n">
        <v>1</v>
      </c>
    </row>
    <row r="7">
      <c r="A7" s="2" t="inlineStr">
        <is>
          <t>M006</t>
        </is>
      </c>
      <c r="B7" s="2" t="inlineStr">
        <is>
          <t>Ricci Chiara</t>
        </is>
      </c>
      <c r="C7" s="2" t="n">
        <v>2080</v>
      </c>
      <c r="D7" s="10" t="n">
        <v>22</v>
      </c>
      <c r="E7" s="10" t="n">
        <v>19.4</v>
      </c>
      <c r="F7" s="2" t="n">
        <v>56</v>
      </c>
      <c r="G7" s="10" t="n">
        <v>10.5</v>
      </c>
      <c r="H7" s="2" t="n">
        <v>1</v>
      </c>
      <c r="I7" s="2" t="n">
        <v>2</v>
      </c>
      <c r="J7" s="2" t="n">
        <v>2</v>
      </c>
    </row>
    <row r="8">
      <c r="A8" s="2" t="inlineStr">
        <is>
          <t>M007</t>
        </is>
      </c>
      <c r="B8" s="2" t="inlineStr">
        <is>
          <t>Moretti Davide</t>
        </is>
      </c>
      <c r="C8" s="2" t="n">
        <v>2080</v>
      </c>
      <c r="D8" s="10" t="n">
        <v>22</v>
      </c>
      <c r="E8" s="10" t="n">
        <v>20.5</v>
      </c>
      <c r="F8" s="2" t="n">
        <v>56</v>
      </c>
      <c r="G8" s="10" t="n">
        <v>15.7</v>
      </c>
      <c r="H8" s="2" t="n">
        <v>1</v>
      </c>
      <c r="I8" s="2" t="n">
        <v>23</v>
      </c>
      <c r="J8" s="2" t="n">
        <v>0</v>
      </c>
    </row>
    <row r="9">
      <c r="A9" s="2" t="inlineStr">
        <is>
          <t>M008</t>
        </is>
      </c>
      <c r="B9" s="2" t="inlineStr">
        <is>
          <t>Conti Federica</t>
        </is>
      </c>
      <c r="C9" s="2" t="n">
        <v>2080</v>
      </c>
      <c r="D9" s="10" t="n">
        <v>22</v>
      </c>
      <c r="E9" s="10" t="n">
        <v>20.8</v>
      </c>
      <c r="F9" s="2" t="n">
        <v>56</v>
      </c>
      <c r="G9" s="10" t="n">
        <v>19.2</v>
      </c>
      <c r="H9" s="2" t="n">
        <v>1</v>
      </c>
      <c r="I9" s="2" t="n">
        <v>15</v>
      </c>
      <c r="J9" s="2" t="n">
        <v>0</v>
      </c>
    </row>
    <row r="10">
      <c r="A10" s="2" t="inlineStr">
        <is>
          <t>M009</t>
        </is>
      </c>
      <c r="B10" s="2" t="inlineStr">
        <is>
          <t>De Luca Simone</t>
        </is>
      </c>
      <c r="C10" s="2" t="n">
        <v>2080</v>
      </c>
      <c r="D10" s="10" t="n">
        <v>22</v>
      </c>
      <c r="E10" s="10" t="n">
        <v>20.9</v>
      </c>
      <c r="F10" s="2" t="n">
        <v>56</v>
      </c>
      <c r="G10" s="10" t="n">
        <v>16</v>
      </c>
      <c r="H10" s="2" t="n">
        <v>2</v>
      </c>
      <c r="I10" s="2" t="n">
        <v>11</v>
      </c>
      <c r="J10" s="2" t="n">
        <v>3</v>
      </c>
    </row>
    <row r="11">
      <c r="A11" s="2" t="inlineStr">
        <is>
          <t>M010</t>
        </is>
      </c>
      <c r="B11" s="2" t="inlineStr">
        <is>
          <t>Barbieri Laura</t>
        </is>
      </c>
      <c r="C11" s="2" t="n">
        <v>2080</v>
      </c>
      <c r="D11" s="10" t="n">
        <v>22</v>
      </c>
      <c r="E11" s="10" t="n">
        <v>19.7</v>
      </c>
      <c r="F11" s="2" t="n">
        <v>56</v>
      </c>
      <c r="G11" s="10" t="n">
        <v>26.2</v>
      </c>
      <c r="H11" s="2" t="n">
        <v>5</v>
      </c>
      <c r="I11" s="2" t="n">
        <v>12</v>
      </c>
      <c r="J11" s="2" t="n">
        <v>2</v>
      </c>
    </row>
    <row r="12">
      <c r="A12" s="2" t="inlineStr">
        <is>
          <t>M011</t>
        </is>
      </c>
      <c r="B12" s="2" t="inlineStr">
        <is>
          <t>Fontana Paola</t>
        </is>
      </c>
      <c r="C12" s="2" t="n">
        <v>1560</v>
      </c>
      <c r="D12" s="10" t="n">
        <v>16.5</v>
      </c>
      <c r="E12" s="10" t="n">
        <v>14.3</v>
      </c>
      <c r="F12" s="2" t="n">
        <v>42</v>
      </c>
      <c r="G12" s="10" t="n">
        <v>31.1</v>
      </c>
      <c r="H12" s="2" t="n">
        <v>1</v>
      </c>
      <c r="I12" s="2" t="n">
        <v>15</v>
      </c>
      <c r="J12" s="2" t="n">
        <v>0</v>
      </c>
    </row>
    <row r="13">
      <c r="A13" s="2" t="inlineStr">
        <is>
          <t>M012</t>
        </is>
      </c>
      <c r="B13" s="2" t="inlineStr">
        <is>
          <t>Esposito Marco</t>
        </is>
      </c>
      <c r="C13" s="2" t="n">
        <v>2080</v>
      </c>
      <c r="D13" s="10" t="n">
        <v>22</v>
      </c>
      <c r="E13" s="10" t="n">
        <v>22</v>
      </c>
      <c r="F13" s="2" t="n">
        <v>56</v>
      </c>
      <c r="G13" s="10" t="n">
        <v>15.2</v>
      </c>
      <c r="H13" s="2" t="n">
        <v>4</v>
      </c>
      <c r="I13" s="2" t="n">
        <v>1</v>
      </c>
      <c r="J13" s="2" t="n">
        <v>0</v>
      </c>
    </row>
    <row r="14">
      <c r="A14" s="2" t="inlineStr">
        <is>
          <t>M013</t>
        </is>
      </c>
      <c r="B14" s="2" t="inlineStr">
        <is>
          <t>Villa Giorgia</t>
        </is>
      </c>
      <c r="C14" s="2" t="n">
        <v>2080</v>
      </c>
      <c r="D14" s="10" t="n">
        <v>22</v>
      </c>
      <c r="E14" s="10" t="n">
        <v>18.8</v>
      </c>
      <c r="F14" s="2" t="n">
        <v>56</v>
      </c>
      <c r="G14" s="10" t="n">
        <v>42</v>
      </c>
      <c r="H14" s="2" t="n">
        <v>6</v>
      </c>
      <c r="I14" s="2" t="n">
        <v>17</v>
      </c>
      <c r="J14" s="2" t="n">
        <v>0</v>
      </c>
    </row>
    <row r="15">
      <c r="A15" s="2" t="inlineStr">
        <is>
          <t>M014</t>
        </is>
      </c>
      <c r="B15" s="2" t="inlineStr">
        <is>
          <t>Greco Fabio</t>
        </is>
      </c>
      <c r="C15" s="2" t="n">
        <v>2080</v>
      </c>
      <c r="D15" s="10" t="n">
        <v>22</v>
      </c>
      <c r="E15" s="10" t="n">
        <v>19.8</v>
      </c>
      <c r="F15" s="2" t="n">
        <v>56</v>
      </c>
      <c r="G15" s="10" t="n">
        <v>13.8</v>
      </c>
      <c r="H15" s="2" t="n">
        <v>4</v>
      </c>
      <c r="I15" s="2" t="n">
        <v>4</v>
      </c>
      <c r="J15" s="2" t="n">
        <v>2</v>
      </c>
    </row>
    <row r="16">
      <c r="A16" s="2" t="inlineStr">
        <is>
          <t>M015</t>
        </is>
      </c>
      <c r="B16" s="2" t="inlineStr">
        <is>
          <t>Rossetti Valentina</t>
        </is>
      </c>
      <c r="C16" s="2" t="n">
        <v>2080</v>
      </c>
      <c r="D16" s="10" t="n">
        <v>22</v>
      </c>
      <c r="E16" s="10" t="n">
        <v>18.7</v>
      </c>
      <c r="F16" s="2" t="n">
        <v>56</v>
      </c>
      <c r="G16" s="10" t="n">
        <v>33.8</v>
      </c>
      <c r="H16" s="2" t="n">
        <v>6</v>
      </c>
      <c r="I16" s="2" t="n">
        <v>7</v>
      </c>
      <c r="J16" s="2" t="n">
        <v>3</v>
      </c>
    </row>
    <row r="17">
      <c r="A17" s="2" t="inlineStr">
        <is>
          <t>M016</t>
        </is>
      </c>
      <c r="B17" s="2" t="inlineStr">
        <is>
          <t>Mancini Nicolò</t>
        </is>
      </c>
      <c r="C17" s="2" t="n">
        <v>2080</v>
      </c>
      <c r="D17" s="10" t="n">
        <v>22</v>
      </c>
      <c r="E17" s="10" t="n">
        <v>20.4</v>
      </c>
      <c r="F17" s="2" t="n">
        <v>56</v>
      </c>
      <c r="G17" s="10" t="n">
        <v>38.4</v>
      </c>
      <c r="H17" s="2" t="n">
        <v>4</v>
      </c>
      <c r="I17" s="2" t="n">
        <v>0</v>
      </c>
      <c r="J17" s="2" t="n">
        <v>0</v>
      </c>
    </row>
    <row r="18">
      <c r="A18" s="2" t="inlineStr">
        <is>
          <t>M017</t>
        </is>
      </c>
      <c r="B18" s="2" t="inlineStr">
        <is>
          <t>Ferrero Anna</t>
        </is>
      </c>
      <c r="C18" s="2" t="n">
        <v>2080</v>
      </c>
      <c r="D18" s="10" t="n">
        <v>22</v>
      </c>
      <c r="E18" s="10" t="n">
        <v>19.9</v>
      </c>
      <c r="F18" s="2" t="n">
        <v>56</v>
      </c>
      <c r="G18" s="10" t="n">
        <v>42.6</v>
      </c>
      <c r="H18" s="2" t="n">
        <v>2</v>
      </c>
      <c r="I18" s="2" t="n">
        <v>11</v>
      </c>
      <c r="J18" s="2" t="n">
        <v>1</v>
      </c>
    </row>
    <row r="19">
      <c r="A19" s="6" t="inlineStr">
        <is>
          <t>Totale</t>
        </is>
      </c>
      <c r="B19" s="7" t="n"/>
      <c r="C19" s="8">
        <f>SUM(C2:C18)</f>
        <v/>
      </c>
      <c r="D19" s="11">
        <f>SUM(D2:D18)</f>
        <v/>
      </c>
      <c r="E19" s="11">
        <f>SUM(E2:E18)</f>
        <v/>
      </c>
      <c r="F19" s="8">
        <f>SUM(F2:F18)</f>
        <v/>
      </c>
      <c r="G19" s="11">
        <f>SUM(G2:G18)</f>
        <v/>
      </c>
      <c r="H19" s="8">
        <f>SUM(H2:H18)</f>
        <v/>
      </c>
      <c r="I19" s="8">
        <f>SUM(I2:I18)</f>
        <v/>
      </c>
      <c r="J19" s="8">
        <f>SUM(J2:J18)</f>
        <v/>
      </c>
    </row>
  </sheetData>
  <autoFilter ref="A1:J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30" customWidth="1" min="4" max="4"/>
    <col width="50" customWidth="1" min="5" max="5"/>
  </cols>
  <sheetData>
    <row r="1" ht="32" customHeight="1">
      <c r="A1" s="1" t="inlineStr">
        <is>
          <t>Data</t>
        </is>
      </c>
      <c r="B1" s="1" t="inlineStr">
        <is>
          <t>Matricola</t>
        </is>
      </c>
      <c r="C1" s="1" t="inlineStr">
        <is>
          <t>Evento</t>
        </is>
      </c>
      <c r="D1" s="1" t="inlineStr">
        <is>
          <t>Ruolo</t>
        </is>
      </c>
      <c r="E1" s="1" t="inlineStr">
        <is>
          <t>Note</t>
        </is>
      </c>
    </row>
    <row r="2">
      <c r="A2" s="3" t="n">
        <v>44571</v>
      </c>
      <c r="B2" s="2" t="inlineStr">
        <is>
          <t>M007</t>
        </is>
      </c>
      <c r="C2" s="2" t="inlineStr">
        <is>
          <t>Assunzione</t>
        </is>
      </c>
      <c r="D2" s="2" t="inlineStr">
        <is>
          <t>Sviluppatore</t>
        </is>
      </c>
      <c r="E2" s="2" t="inlineStr">
        <is>
          <t>Livello 4, Indeterminato</t>
        </is>
      </c>
    </row>
    <row r="3">
      <c r="A3" s="3" t="n">
        <v>44713</v>
      </c>
      <c r="B3" s="2" t="inlineStr">
        <is>
          <t>M008</t>
        </is>
      </c>
      <c r="C3" s="2" t="inlineStr">
        <is>
          <t>Assunzione</t>
        </is>
      </c>
      <c r="D3" s="2" t="inlineStr">
        <is>
          <t>Project manager</t>
        </is>
      </c>
      <c r="E3" s="2" t="inlineStr">
        <is>
          <t>Livello 2, Indeterminato</t>
        </is>
      </c>
    </row>
    <row r="4">
      <c r="A4" s="3" t="n">
        <v>44958</v>
      </c>
      <c r="B4" s="2" t="inlineStr">
        <is>
          <t>M009</t>
        </is>
      </c>
      <c r="C4" s="2" t="inlineStr">
        <is>
          <t>Assunzione</t>
        </is>
      </c>
      <c r="D4" s="2" t="inlineStr">
        <is>
          <t>Sviluppatore</t>
        </is>
      </c>
      <c r="E4" s="2" t="inlineStr">
        <is>
          <t>Livello 4, Indeterminato</t>
        </is>
      </c>
    </row>
    <row r="5">
      <c r="A5" s="3" t="n">
        <v>45187</v>
      </c>
      <c r="B5" s="2" t="inlineStr">
        <is>
          <t>M010</t>
        </is>
      </c>
      <c r="C5" s="2" t="inlineStr">
        <is>
          <t>Assunzione</t>
        </is>
      </c>
      <c r="D5" s="2" t="inlineStr">
        <is>
          <t>Sviluppatore</t>
        </is>
      </c>
      <c r="E5" s="2" t="inlineStr">
        <is>
          <t>Livello 4, Indeterminato</t>
        </is>
      </c>
    </row>
    <row r="6">
      <c r="A6" s="3" t="n">
        <v>45236</v>
      </c>
      <c r="B6" s="2" t="inlineStr">
        <is>
          <t>M011</t>
        </is>
      </c>
      <c r="C6" s="2" t="inlineStr">
        <is>
          <t>Assunzione</t>
        </is>
      </c>
      <c r="D6" s="2" t="inlineStr">
        <is>
          <t>Amministrazione e personale</t>
        </is>
      </c>
      <c r="E6" s="2" t="inlineStr">
        <is>
          <t>Livello 4, Indeterminato</t>
        </is>
      </c>
    </row>
    <row r="7">
      <c r="A7" s="3" t="n">
        <v>45382</v>
      </c>
      <c r="B7" s="2" t="inlineStr">
        <is>
          <t>M-ex2</t>
        </is>
      </c>
      <c r="C7" s="2" t="inlineStr">
        <is>
          <t>Cessazione</t>
        </is>
      </c>
      <c r="D7" s="2" t="inlineStr">
        <is>
          <t>Impiegato amministrativo</t>
        </is>
      </c>
      <c r="E7" s="2" t="inlineStr">
        <is>
          <t>Dimissioni volontarie</t>
        </is>
      </c>
    </row>
    <row r="8">
      <c r="A8" s="3" t="n">
        <v>45384</v>
      </c>
      <c r="B8" s="2" t="inlineStr">
        <is>
          <t>M012</t>
        </is>
      </c>
      <c r="C8" s="2" t="inlineStr">
        <is>
          <t>Assunzione</t>
        </is>
      </c>
      <c r="D8" s="2" t="inlineStr">
        <is>
          <t>UX designer</t>
        </is>
      </c>
      <c r="E8" s="2" t="inlineStr">
        <is>
          <t>Livello 4, Indeterminato</t>
        </is>
      </c>
    </row>
    <row r="9">
      <c r="A9" s="3" t="n">
        <v>45537</v>
      </c>
      <c r="B9" s="2" t="inlineStr">
        <is>
          <t>M013</t>
        </is>
      </c>
      <c r="C9" s="2" t="inlineStr">
        <is>
          <t>Assunzione</t>
        </is>
      </c>
      <c r="D9" s="2" t="inlineStr">
        <is>
          <t>Sviluppatore</t>
        </is>
      </c>
      <c r="E9" s="2" t="inlineStr">
        <is>
          <t>Livello 5, Apprendistato</t>
        </is>
      </c>
    </row>
    <row r="10">
      <c r="A10" s="3" t="n">
        <v>45657</v>
      </c>
      <c r="B10" s="2" t="inlineStr">
        <is>
          <t>M009</t>
        </is>
      </c>
      <c r="C10" s="2" t="inlineStr">
        <is>
          <t>Trasformazione</t>
        </is>
      </c>
      <c r="D10" s="2" t="inlineStr">
        <is>
          <t>Conferma</t>
        </is>
      </c>
      <c r="E10" s="2" t="inlineStr">
        <is>
          <t>Conferma al termine del periodo di prova</t>
        </is>
      </c>
    </row>
    <row r="11">
      <c r="A11" s="3" t="n">
        <v>45670</v>
      </c>
      <c r="B11" s="2" t="inlineStr">
        <is>
          <t>M014</t>
        </is>
      </c>
      <c r="C11" s="2" t="inlineStr">
        <is>
          <t>Assunzione</t>
        </is>
      </c>
      <c r="D11" s="2" t="inlineStr">
        <is>
          <t>Data scientist</t>
        </is>
      </c>
      <c r="E11" s="2" t="inlineStr">
        <is>
          <t>Livello 3, Indeterminato</t>
        </is>
      </c>
    </row>
    <row r="12">
      <c r="A12" s="3" t="n">
        <v>45719</v>
      </c>
      <c r="B12" s="2" t="inlineStr">
        <is>
          <t>M015</t>
        </is>
      </c>
      <c r="C12" s="2" t="inlineStr">
        <is>
          <t>Assunzione</t>
        </is>
      </c>
      <c r="D12" s="2" t="inlineStr">
        <is>
          <t>Commerciale</t>
        </is>
      </c>
      <c r="E12" s="2" t="inlineStr">
        <is>
          <t>Livello 3, Indeterminato</t>
        </is>
      </c>
    </row>
    <row r="13">
      <c r="A13" s="3" t="n">
        <v>45838</v>
      </c>
      <c r="B13" s="2" t="inlineStr">
        <is>
          <t>M-ex1</t>
        </is>
      </c>
      <c r="C13" s="2" t="inlineStr">
        <is>
          <t>Cessazione</t>
        </is>
      </c>
      <c r="D13" s="2" t="inlineStr">
        <is>
          <t>Sviluppatore</t>
        </is>
      </c>
      <c r="E13" s="2" t="inlineStr">
        <is>
          <t>Dimissioni volontarie, preavviso rispettato</t>
        </is>
      </c>
    </row>
    <row r="14">
      <c r="A14" s="3" t="n">
        <v>45931</v>
      </c>
      <c r="B14" s="2" t="inlineStr">
        <is>
          <t>M016</t>
        </is>
      </c>
      <c r="C14" s="2" t="inlineStr">
        <is>
          <t>Assunzione</t>
        </is>
      </c>
      <c r="D14" s="2" t="inlineStr">
        <is>
          <t>Sviluppatore</t>
        </is>
      </c>
      <c r="E14" s="2" t="inlineStr">
        <is>
          <t>Livello 5, Apprendistato</t>
        </is>
      </c>
    </row>
    <row r="15">
      <c r="A15" s="3" t="n">
        <v>46055</v>
      </c>
      <c r="B15" s="2" t="inlineStr">
        <is>
          <t>M017</t>
        </is>
      </c>
      <c r="C15" s="2" t="inlineStr">
        <is>
          <t>Assunzione</t>
        </is>
      </c>
      <c r="D15" s="2" t="inlineStr">
        <is>
          <t>Sviluppatore</t>
        </is>
      </c>
      <c r="E15" s="2" t="inlineStr">
        <is>
          <t>Livello 5, Apprendistato</t>
        </is>
      </c>
    </row>
  </sheetData>
  <autoFilter ref="A1:E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18" customWidth="1" min="4" max="4"/>
    <col width="10" customWidth="1" min="5" max="5"/>
    <col width="32" customWidth="1" min="6" max="6"/>
  </cols>
  <sheetData>
    <row r="1" ht="32" customHeight="1">
      <c r="A1" s="1" t="inlineStr">
        <is>
          <t>Posizione</t>
        </is>
      </c>
      <c r="B1" s="1" t="inlineStr">
        <is>
          <t>Ruolo</t>
        </is>
      </c>
      <c r="C1" s="1" t="inlineStr">
        <is>
          <t>Area</t>
        </is>
      </c>
      <c r="D1" s="1" t="inlineStr">
        <is>
          <t>Mese di ingresso</t>
        </is>
      </c>
      <c r="E1" s="1" t="inlineStr">
        <is>
          <t>Livello</t>
        </is>
      </c>
      <c r="F1" s="1" t="inlineStr">
        <is>
          <t>Costo azienda annuo di partenza (EUR)</t>
        </is>
      </c>
    </row>
    <row r="2">
      <c r="A2" s="2" t="inlineStr">
        <is>
          <t>M018</t>
        </is>
      </c>
      <c r="B2" s="2" t="inlineStr">
        <is>
          <t>Data engineer</t>
        </is>
      </c>
      <c r="C2" s="2" t="inlineStr">
        <is>
          <t>Sviluppo e dati</t>
        </is>
      </c>
      <c r="D2" s="2" t="inlineStr">
        <is>
          <t>2026-09</t>
        </is>
      </c>
      <c r="E2" s="2" t="inlineStr">
        <is>
          <t>4</t>
        </is>
      </c>
      <c r="F2" s="4" t="n">
        <v>47000</v>
      </c>
    </row>
    <row r="3">
      <c r="A3" s="2" t="inlineStr">
        <is>
          <t>M019</t>
        </is>
      </c>
      <c r="B3" s="2" t="inlineStr">
        <is>
          <t>Commerciale junior</t>
        </is>
      </c>
      <c r="C3" s="2" t="inlineStr">
        <is>
          <t>Commerciale e clienti</t>
        </is>
      </c>
      <c r="D3" s="2" t="inlineStr">
        <is>
          <t>2026-10</t>
        </is>
      </c>
      <c r="E3" s="2" t="inlineStr">
        <is>
          <t>4</t>
        </is>
      </c>
      <c r="F3" s="4" t="n">
        <v>39000</v>
      </c>
    </row>
    <row r="4">
      <c r="A4" s="2" t="inlineStr">
        <is>
          <t>M020</t>
        </is>
      </c>
      <c r="B4" s="2" t="inlineStr">
        <is>
          <t>Sviluppatore senior</t>
        </is>
      </c>
      <c r="C4" s="2" t="inlineStr">
        <is>
          <t>Sviluppo e dati</t>
        </is>
      </c>
      <c r="D4" s="2" t="inlineStr">
        <is>
          <t>2027-02</t>
        </is>
      </c>
      <c r="E4" s="2" t="inlineStr">
        <is>
          <t>3</t>
        </is>
      </c>
      <c r="F4" s="4" t="n">
        <v>51000</v>
      </c>
    </row>
    <row r="5">
      <c r="A5" s="2" t="inlineStr">
        <is>
          <t>M021</t>
        </is>
      </c>
      <c r="B5" s="2" t="inlineStr">
        <is>
          <t>Tester e quality assurance</t>
        </is>
      </c>
      <c r="C5" s="2" t="inlineStr">
        <is>
          <t>Sviluppo e dati</t>
        </is>
      </c>
      <c r="D5" s="2" t="inlineStr">
        <is>
          <t>2027-05</t>
        </is>
      </c>
      <c r="E5" s="2" t="inlineStr">
        <is>
          <t>4</t>
        </is>
      </c>
      <c r="F5" s="4" t="n">
        <v>35000</v>
      </c>
    </row>
    <row r="6">
      <c r="A6" s="2" t="inlineStr">
        <is>
          <t>M022</t>
        </is>
      </c>
      <c r="B6" s="2" t="inlineStr">
        <is>
          <t>Customer success manager</t>
        </is>
      </c>
      <c r="C6" s="2" t="inlineStr">
        <is>
          <t>Commerciale e clienti</t>
        </is>
      </c>
      <c r="D6" s="2" t="inlineStr">
        <is>
          <t>2027-09</t>
        </is>
      </c>
      <c r="E6" s="2" t="inlineStr">
        <is>
          <t>4</t>
        </is>
      </c>
      <c r="F6" s="4" t="n">
        <v>39000</v>
      </c>
    </row>
    <row r="7">
      <c r="A7" s="2" t="inlineStr">
        <is>
          <t>M023</t>
        </is>
      </c>
      <c r="B7" s="2" t="inlineStr">
        <is>
          <t>Sviluppatore</t>
        </is>
      </c>
      <c r="C7" s="2" t="inlineStr">
        <is>
          <t>Sviluppo e dati</t>
        </is>
      </c>
      <c r="D7" s="2" t="inlineStr">
        <is>
          <t>2028-01</t>
        </is>
      </c>
      <c r="E7" s="2" t="inlineStr">
        <is>
          <t>4</t>
        </is>
      </c>
      <c r="F7" s="4" t="n">
        <v>42000</v>
      </c>
    </row>
    <row r="8">
      <c r="A8" s="2" t="inlineStr">
        <is>
          <t>M024</t>
        </is>
      </c>
      <c r="B8" s="2" t="inlineStr">
        <is>
          <t>Data scientist</t>
        </is>
      </c>
      <c r="C8" s="2" t="inlineStr">
        <is>
          <t>Sviluppo e dati</t>
        </is>
      </c>
      <c r="D8" s="2" t="inlineStr">
        <is>
          <t>2028-04</t>
        </is>
      </c>
      <c r="E8" s="2" t="inlineStr">
        <is>
          <t>4</t>
        </is>
      </c>
      <c r="F8" s="4" t="n">
        <v>50000</v>
      </c>
    </row>
    <row r="9">
      <c r="A9" s="2" t="inlineStr">
        <is>
          <t>M025</t>
        </is>
      </c>
      <c r="B9" s="2" t="inlineStr">
        <is>
          <t>Responsabile sicurezza informatica</t>
        </is>
      </c>
      <c r="C9" s="2" t="inlineStr">
        <is>
          <t>Progetto e design</t>
        </is>
      </c>
      <c r="D9" s="2" t="inlineStr">
        <is>
          <t>2028-09</t>
        </is>
      </c>
      <c r="E9" s="2" t="inlineStr">
        <is>
          <t>3</t>
        </is>
      </c>
      <c r="F9" s="4" t="n">
        <v>55000</v>
      </c>
    </row>
    <row r="10">
      <c r="A10" s="6" t="inlineStr">
        <is>
          <t>Totale</t>
        </is>
      </c>
      <c r="B10" s="7" t="n"/>
      <c r="C10" s="7" t="n"/>
      <c r="D10" s="7" t="n"/>
      <c r="E10" s="7" t="n"/>
      <c r="F10" s="8">
        <f>SUM(F2:F9)</f>
        <v/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2026-10-14T18:56:57Z</dcterms:created>
  <dcterms:modified xsi:type="dcterms:W3CDTF">2026-10-14T18:56:57Z</dcterms:modified>
</cp:coreProperties>
</file>