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cespiti 2025" sheetId="1" state="visible" r:id="rId1"/>
    <sheet name="Movimenti 2022" sheetId="2" state="visible" r:id="rId2"/>
    <sheet name="Movimenti 2023" sheetId="3" state="visible" r:id="rId3"/>
    <sheet name="Movimenti 2024" sheetId="4" state="visible" r:id="rId4"/>
    <sheet name="Movimenti 2025" sheetId="5" state="visible" r:id="rId5"/>
    <sheet name="Piano ammortamento 2026-30" sheetId="6" state="visible" r:id="rId6"/>
    <sheet name="Riepilogo per classe" sheetId="7" state="visible" r:id="rId7"/>
  </sheets>
  <definedNames>
    <definedName name="_xlnm._FilterDatabase" localSheetId="0" hidden="1">'Libro cespiti 2025'!$A$1:$J$67</definedName>
    <definedName name="_xlnm._FilterDatabase" localSheetId="1" hidden="1">'Movimenti 2022'!$A$1:$K$40</definedName>
    <definedName name="_xlnm._FilterDatabase" localSheetId="2" hidden="1">'Movimenti 2023'!$A$1:$K$49</definedName>
    <definedName name="_xlnm._FilterDatabase" localSheetId="3" hidden="1">'Movimenti 2024'!$A$1:$K$58</definedName>
    <definedName name="_xlnm._FilterDatabase" localSheetId="4" hidden="1">'Movimenti 2025'!$A$1:$K$67</definedName>
    <definedName name="_xlnm._FilterDatabase" localSheetId="5" hidden="1">'Piano ammortamento 2026-30'!$A$1:$I$53</definedName>
    <definedName name="_xlnm._FilterDatabase" localSheetId="6" hidden="1">'Riepilogo per classe'!$A$3:$G$12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;[Red]-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b val="1"/>
      <sz val="10"/>
    </font>
    <font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62" customWidth="1" min="3" max="3"/>
    <col width="42" customWidth="1" min="4" max="4"/>
    <col width="14" customWidth="1" min="5" max="5"/>
    <col width="10" customWidth="1" min="6" max="6"/>
    <col width="18" customWidth="1" min="7" max="7"/>
    <col width="26" customWidth="1" min="8" max="8"/>
    <col width="18" customWidth="1" min="9" max="9"/>
    <col width="20" customWidth="1" min="10" max="10"/>
  </cols>
  <sheetData>
    <row r="1" ht="32" customHeight="1">
      <c r="A1" s="1" t="inlineStr">
        <is>
          <t>Classe</t>
        </is>
      </c>
      <c r="B1" s="1" t="inlineStr">
        <is>
          <t>Codice bene</t>
        </is>
      </c>
      <c r="C1" s="1" t="inlineStr">
        <is>
          <t>Descrizione</t>
        </is>
      </c>
      <c r="D1" s="1" t="inlineStr">
        <is>
          <t>Fornitore</t>
        </is>
      </c>
      <c r="E1" s="1" t="inlineStr">
        <is>
          <t>Data acquisto</t>
        </is>
      </c>
      <c r="F1" s="1" t="inlineStr">
        <is>
          <t>Aliquota</t>
        </is>
      </c>
      <c r="G1" s="1" t="inlineStr">
        <is>
          <t>Costo storico (EUR)</t>
        </is>
      </c>
      <c r="H1" s="1" t="inlineStr">
        <is>
          <t>Fondo ammortamento 31/12/2025 (EUR)</t>
        </is>
      </c>
      <c r="I1" s="1" t="inlineStr">
        <is>
          <t>Valore residuo (EUR)</t>
        </is>
      </c>
      <c r="J1" s="1" t="inlineStr">
        <is>
          <t>Ammortamento 2025 (EUR)</t>
        </is>
      </c>
    </row>
    <row r="2">
      <c r="A2" s="2" t="inlineStr">
        <is>
          <t>Costi di sviluppo</t>
        </is>
      </c>
      <c r="B2" s="2" t="inlineStr">
        <is>
          <t>IMM-101</t>
        </is>
      </c>
      <c r="C2" s="2" t="inlineStr">
        <is>
          <t>Piattaforma Atlas: motore di stima (versione 1)</t>
        </is>
      </c>
      <c r="D2" s="2" t="inlineStr">
        <is>
          <t>Realizzazione interna (personale e consulenti)</t>
        </is>
      </c>
      <c r="E2" s="3" t="n">
        <v>43456</v>
      </c>
      <c r="F2" s="4" t="n">
        <v>0.2</v>
      </c>
      <c r="G2" s="5" t="n">
        <v>29400</v>
      </c>
      <c r="H2" s="5" t="n">
        <v>29400</v>
      </c>
      <c r="I2" s="5">
        <f>G2-H2</f>
        <v/>
      </c>
      <c r="J2" s="5" t="n">
        <v>0</v>
      </c>
    </row>
    <row r="3">
      <c r="A3" s="2" t="inlineStr">
        <is>
          <t>Costi di sviluppo</t>
        </is>
      </c>
      <c r="B3" s="2" t="inlineStr">
        <is>
          <t>IMM-102</t>
        </is>
      </c>
      <c r="C3" s="2" t="inlineStr">
        <is>
          <t>Piattaforma Atlas: modulo di acquisizione dei documenti</t>
        </is>
      </c>
      <c r="D3" s="2" t="inlineStr">
        <is>
          <t>Realizzazione interna (personale e consulenti)</t>
        </is>
      </c>
      <c r="E3" s="3" t="n">
        <v>43821</v>
      </c>
      <c r="F3" s="4" t="n">
        <v>0.2</v>
      </c>
      <c r="G3" s="5" t="n">
        <v>29400</v>
      </c>
      <c r="H3" s="5" t="n">
        <v>29400</v>
      </c>
      <c r="I3" s="5">
        <f>G3-H3</f>
        <v/>
      </c>
      <c r="J3" s="5" t="n">
        <v>3302</v>
      </c>
    </row>
    <row r="4">
      <c r="A4" s="2" t="inlineStr">
        <is>
          <t>Costi di sviluppo</t>
        </is>
      </c>
      <c r="B4" s="2" t="inlineStr">
        <is>
          <t>IMM-103</t>
        </is>
      </c>
      <c r="C4" s="2" t="inlineStr">
        <is>
          <t>Piattaforma Atlas: archivio delle regole dei bandi</t>
        </is>
      </c>
      <c r="D4" s="2" t="inlineStr">
        <is>
          <t>Realizzazione interna (personale e consulenti)</t>
        </is>
      </c>
      <c r="E4" s="3" t="n">
        <v>44187</v>
      </c>
      <c r="F4" s="4" t="n">
        <v>0.2</v>
      </c>
      <c r="G4" s="5" t="n">
        <v>24500</v>
      </c>
      <c r="H4" s="5" t="n">
        <v>19648</v>
      </c>
      <c r="I4" s="5">
        <f>G4-H4</f>
        <v/>
      </c>
      <c r="J4" s="5" t="n">
        <v>2809</v>
      </c>
    </row>
    <row r="5">
      <c r="A5" s="2" t="inlineStr">
        <is>
          <t>Costi di sviluppo</t>
        </is>
      </c>
      <c r="B5" s="2" t="inlineStr">
        <is>
          <t>IMM-104</t>
        </is>
      </c>
      <c r="C5" s="2" t="inlineStr">
        <is>
          <t>Piattaforma Atlas: interfaccia web e reportistica</t>
        </is>
      </c>
      <c r="D5" s="2" t="inlineStr">
        <is>
          <t>Realizzazione interna (personale e consulenti)</t>
        </is>
      </c>
      <c r="E5" s="3" t="n">
        <v>44552</v>
      </c>
      <c r="F5" s="4" t="n">
        <v>0.2</v>
      </c>
      <c r="G5" s="5" t="n">
        <v>14700</v>
      </c>
      <c r="H5" s="5" t="n">
        <v>8843</v>
      </c>
      <c r="I5" s="5">
        <f>G5-H5</f>
        <v/>
      </c>
      <c r="J5" s="5" t="n">
        <v>1685</v>
      </c>
    </row>
    <row r="6">
      <c r="A6" s="2" t="inlineStr">
        <is>
          <t>Costi di sviluppo</t>
        </is>
      </c>
      <c r="B6" s="2" t="inlineStr">
        <is>
          <t>IMM-105</t>
        </is>
      </c>
      <c r="C6" s="2" t="inlineStr">
        <is>
          <t>Piattaforma Atlas: miglioramento del motore di stima</t>
        </is>
      </c>
      <c r="D6" s="2" t="inlineStr">
        <is>
          <t>Realizzazione interna (personale e consulenti)</t>
        </is>
      </c>
      <c r="E6" s="3" t="n">
        <v>44917</v>
      </c>
      <c r="F6" s="4" t="n">
        <v>0.2</v>
      </c>
      <c r="G6" s="5" t="n">
        <v>10296</v>
      </c>
      <c r="H6" s="5" t="n">
        <v>3715</v>
      </c>
      <c r="I6" s="5">
        <f>G6-H6</f>
        <v/>
      </c>
      <c r="J6" s="5" t="n">
        <v>1180</v>
      </c>
    </row>
    <row r="7">
      <c r="A7" s="2" t="inlineStr">
        <is>
          <t>Costi di sviluppo</t>
        </is>
      </c>
      <c r="B7" s="2" t="inlineStr">
        <is>
          <t>IMM-106</t>
        </is>
      </c>
      <c r="C7" s="2" t="inlineStr">
        <is>
          <t>Piattaforma Atlas: motore di calcolo deterministico</t>
        </is>
      </c>
      <c r="D7" s="2" t="inlineStr">
        <is>
          <t>Realizzazione interna (personale e consulenti)</t>
        </is>
      </c>
      <c r="E7" s="3" t="n">
        <v>45282</v>
      </c>
      <c r="F7" s="4" t="n">
        <v>0.2</v>
      </c>
      <c r="G7" s="5" t="n">
        <v>21024</v>
      </c>
      <c r="H7" s="5" t="n">
        <v>5796</v>
      </c>
      <c r="I7" s="5">
        <f>G7-H7</f>
        <v/>
      </c>
      <c r="J7" s="5" t="n">
        <v>2411</v>
      </c>
    </row>
    <row r="8">
      <c r="A8" s="2" t="inlineStr">
        <is>
          <t>Costi di sviluppo</t>
        </is>
      </c>
      <c r="B8" s="2" t="inlineStr">
        <is>
          <t>IMM-107</t>
        </is>
      </c>
      <c r="C8" s="2" t="inlineStr">
        <is>
          <t>Piattaforma Atlas: API e integrazioni verso i gestionali</t>
        </is>
      </c>
      <c r="D8" s="2" t="inlineStr">
        <is>
          <t>Realizzazione interna (personale e consulenti)</t>
        </is>
      </c>
      <c r="E8" s="3" t="n">
        <v>45648</v>
      </c>
      <c r="F8" s="4" t="n">
        <v>0.2</v>
      </c>
      <c r="G8" s="5" t="n">
        <v>24336</v>
      </c>
      <c r="H8" s="5" t="n">
        <v>4205</v>
      </c>
      <c r="I8" s="5">
        <f>G8-H8</f>
        <v/>
      </c>
      <c r="J8" s="5" t="n">
        <v>2790</v>
      </c>
    </row>
    <row r="9">
      <c r="A9" s="2" t="inlineStr">
        <is>
          <t>Costi di sviluppo</t>
        </is>
      </c>
      <c r="B9" s="2" t="inlineStr">
        <is>
          <t>IMM-108</t>
        </is>
      </c>
      <c r="C9" s="2" t="inlineStr">
        <is>
          <t>Piattaforma Atlas: assistente di inserimento dati e modulo di dossier</t>
        </is>
      </c>
      <c r="D9" s="2" t="inlineStr">
        <is>
          <t>Realizzazione interna (personale e consulenti)</t>
        </is>
      </c>
      <c r="E9" s="3" t="n">
        <v>46013</v>
      </c>
      <c r="F9" s="4" t="n">
        <v>0.2</v>
      </c>
      <c r="G9" s="5" t="n">
        <v>26208</v>
      </c>
      <c r="H9" s="5" t="n">
        <v>1503</v>
      </c>
      <c r="I9" s="5">
        <f>G9-H9</f>
        <v/>
      </c>
      <c r="J9" s="5" t="n">
        <v>1503</v>
      </c>
    </row>
    <row r="10">
      <c r="A10" s="2" t="inlineStr">
        <is>
          <t>Diritti di utilizzazione di opere dell'ingegno (software applicativo)</t>
        </is>
      </c>
      <c r="B10" s="2" t="inlineStr">
        <is>
          <t>IMM-209</t>
        </is>
      </c>
      <c r="C10" s="2" t="inlineStr">
        <is>
          <t>Licenza perpetua ambiente di modellazione UML e CAD</t>
        </is>
      </c>
      <c r="D10" s="2" t="inlineStr">
        <is>
          <t>Cloudware Italia S.r.l.</t>
        </is>
      </c>
      <c r="E10" s="3" t="n">
        <v>42819</v>
      </c>
      <c r="F10" s="4" t="n">
        <v>0.33</v>
      </c>
      <c r="G10" s="5" t="n">
        <v>7700</v>
      </c>
      <c r="H10" s="5" t="n">
        <v>7700</v>
      </c>
      <c r="I10" s="5">
        <f>G10-H10</f>
        <v/>
      </c>
      <c r="J10" s="5" t="n">
        <v>0</v>
      </c>
    </row>
    <row r="11">
      <c r="A11" s="2" t="inlineStr">
        <is>
          <t>Diritti di utilizzazione di opere dell'ingegno (software applicativo)</t>
        </is>
      </c>
      <c r="B11" s="2" t="inlineStr">
        <is>
          <t>IMM-210</t>
        </is>
      </c>
      <c r="C11" s="2" t="inlineStr">
        <is>
          <t>Software di gestione progetti e ticketing (licenza perpetua)</t>
        </is>
      </c>
      <c r="D11" s="2" t="inlineStr">
        <is>
          <t>Licenze Software Europa S.r.l.</t>
        </is>
      </c>
      <c r="E11" s="3" t="n">
        <v>43275</v>
      </c>
      <c r="F11" s="4" t="n">
        <v>0.33</v>
      </c>
      <c r="G11" s="5" t="n">
        <v>8800</v>
      </c>
      <c r="H11" s="5" t="n">
        <v>8800</v>
      </c>
      <c r="I11" s="5">
        <f>G11-H11</f>
        <v/>
      </c>
      <c r="J11" s="5" t="n">
        <v>0</v>
      </c>
    </row>
    <row r="12">
      <c r="A12" s="2" t="inlineStr">
        <is>
          <t>Diritti di utilizzazione di opere dell'ingegno (software applicativo)</t>
        </is>
      </c>
      <c r="B12" s="2" t="inlineStr">
        <is>
          <t>IMM-211</t>
        </is>
      </c>
      <c r="C12" s="2" t="inlineStr">
        <is>
          <t>Software di business intelligence (licenza perpetua)</t>
        </is>
      </c>
      <c r="D12" s="2" t="inlineStr">
        <is>
          <t>DataCenter Piemonte S.r.l.</t>
        </is>
      </c>
      <c r="E12" s="3" t="n">
        <v>44097</v>
      </c>
      <c r="F12" s="4" t="n">
        <v>0.33</v>
      </c>
      <c r="G12" s="5" t="n">
        <v>5500</v>
      </c>
      <c r="H12" s="5" t="n">
        <v>5500</v>
      </c>
      <c r="I12" s="5">
        <f>G12-H12</f>
        <v/>
      </c>
      <c r="J12" s="5" t="n">
        <v>1040</v>
      </c>
    </row>
    <row r="13">
      <c r="A13" s="2" t="inlineStr">
        <is>
          <t>Diritti di utilizzazione di opere dell'ingegno (software applicativo)</t>
        </is>
      </c>
      <c r="B13" s="2" t="inlineStr">
        <is>
          <t>IMM-212</t>
        </is>
      </c>
      <c r="C13" s="2" t="inlineStr">
        <is>
          <t>Software di contabilità e gestione paghe (licenza)</t>
        </is>
      </c>
      <c r="D13" s="2" t="inlineStr">
        <is>
          <t>Cloudware Italia S.r.l.</t>
        </is>
      </c>
      <c r="E13" s="3" t="n">
        <v>44610</v>
      </c>
      <c r="F13" s="4" t="n">
        <v>0.33</v>
      </c>
      <c r="G13" s="5" t="n">
        <v>2574</v>
      </c>
      <c r="H13" s="5" t="n">
        <v>1339</v>
      </c>
      <c r="I13" s="5">
        <f>G13-H13</f>
        <v/>
      </c>
      <c r="J13" s="5" t="n">
        <v>515</v>
      </c>
    </row>
    <row r="14">
      <c r="A14" s="2" t="inlineStr">
        <is>
          <t>Diritti di utilizzazione di opere dell'ingegno (software applicativo)</t>
        </is>
      </c>
      <c r="B14" s="2" t="inlineStr">
        <is>
          <t>IMM-213</t>
        </is>
      </c>
      <c r="C14" s="2" t="inlineStr">
        <is>
          <t>Software di gestione documentale e firma digitale (licenza)</t>
        </is>
      </c>
      <c r="D14" s="2" t="inlineStr">
        <is>
          <t>Licenze Software Europa S.r.l.</t>
        </is>
      </c>
      <c r="E14" s="3" t="n">
        <v>45063</v>
      </c>
      <c r="F14" s="4" t="n">
        <v>0.33</v>
      </c>
      <c r="G14" s="5" t="n">
        <v>5256</v>
      </c>
      <c r="H14" s="5" t="n">
        <v>2171</v>
      </c>
      <c r="I14" s="5">
        <f>G14-H14</f>
        <v/>
      </c>
      <c r="J14" s="5" t="n">
        <v>1052</v>
      </c>
    </row>
    <row r="15">
      <c r="A15" s="2" t="inlineStr">
        <is>
          <t>Diritti di utilizzazione di opere dell'ingegno (software applicativo)</t>
        </is>
      </c>
      <c r="B15" s="2" t="inlineStr">
        <is>
          <t>IMM-214</t>
        </is>
      </c>
      <c r="C15" s="2" t="inlineStr">
        <is>
          <t>Software di analisi statica del codice (licenza perpetua)</t>
        </is>
      </c>
      <c r="D15" s="2" t="inlineStr">
        <is>
          <t>DataCenter Piemonte S.r.l.</t>
        </is>
      </c>
      <c r="E15" s="3" t="n">
        <v>45392</v>
      </c>
      <c r="F15" s="4" t="n">
        <v>0.33</v>
      </c>
      <c r="G15" s="5" t="n">
        <v>6084</v>
      </c>
      <c r="H15" s="5" t="n">
        <v>1694</v>
      </c>
      <c r="I15" s="5">
        <f>G15-H15</f>
        <v/>
      </c>
      <c r="J15" s="5" t="n">
        <v>1217</v>
      </c>
    </row>
    <row r="16">
      <c r="A16" s="2" t="inlineStr">
        <is>
          <t>Diritti di utilizzazione di opere dell'ingegno (software applicativo)</t>
        </is>
      </c>
      <c r="B16" s="2" t="inlineStr">
        <is>
          <t>IMM-215</t>
        </is>
      </c>
      <c r="C16" s="2" t="inlineStr">
        <is>
          <t>Software di monitoraggio e osservabilità (licenza perpetua)</t>
        </is>
      </c>
      <c r="D16" s="2" t="inlineStr">
        <is>
          <t>Cloudware Italia S.r.l.</t>
        </is>
      </c>
      <c r="E16" s="3" t="n">
        <v>45847</v>
      </c>
      <c r="F16" s="4" t="n">
        <v>0.33</v>
      </c>
      <c r="G16" s="5" t="n">
        <v>6552</v>
      </c>
      <c r="H16" s="5" t="n">
        <v>656</v>
      </c>
      <c r="I16" s="5">
        <f>G16-H16</f>
        <v/>
      </c>
      <c r="J16" s="5" t="n">
        <v>656</v>
      </c>
    </row>
    <row r="17">
      <c r="A17" s="2" t="inlineStr">
        <is>
          <t>Concessioni, licenze, marchi e diritti simili</t>
        </is>
      </c>
      <c r="B17" s="2" t="inlineStr">
        <is>
          <t>IMM-316</t>
        </is>
      </c>
      <c r="C17" s="2" t="inlineStr">
        <is>
          <t>Marchio denominativo ATLAS: registrazione presso l'UIBM</t>
        </is>
      </c>
      <c r="D17" s="2" t="inlineStr">
        <is>
          <t>Studio Legale Aimone</t>
        </is>
      </c>
      <c r="E17" s="3" t="n">
        <v>43565</v>
      </c>
      <c r="F17" s="4" t="n">
        <v>0.2</v>
      </c>
      <c r="G17" s="5" t="n">
        <v>3100</v>
      </c>
      <c r="H17" s="5" t="n">
        <v>3100</v>
      </c>
      <c r="I17" s="5">
        <f>G17-H17</f>
        <v/>
      </c>
      <c r="J17" s="5" t="n">
        <v>171</v>
      </c>
    </row>
    <row r="18">
      <c r="A18" s="2" t="inlineStr">
        <is>
          <t>Concessioni, licenze, marchi e diritti simili</t>
        </is>
      </c>
      <c r="B18" s="2" t="inlineStr">
        <is>
          <t>IMM-317</t>
        </is>
      </c>
      <c r="C18" s="2" t="inlineStr">
        <is>
          <t>Marchio figurativo Meridiana: registrazione e rinnovo</t>
        </is>
      </c>
      <c r="D18" s="2" t="inlineStr">
        <is>
          <t>Consulenti del Lavoro Torino Centro</t>
        </is>
      </c>
      <c r="E18" s="3" t="n">
        <v>44006</v>
      </c>
      <c r="F18" s="4" t="n">
        <v>0.2</v>
      </c>
      <c r="G18" s="5" t="n">
        <v>3100</v>
      </c>
      <c r="H18" s="5" t="n">
        <v>2532</v>
      </c>
      <c r="I18" s="5">
        <f>G18-H18</f>
        <v/>
      </c>
      <c r="J18" s="5" t="n">
        <v>324</v>
      </c>
    </row>
    <row r="19">
      <c r="A19" s="2" t="inlineStr">
        <is>
          <t>Concessioni, licenze, marchi e diritti simili</t>
        </is>
      </c>
      <c r="B19" s="2" t="inlineStr">
        <is>
          <t>IMM-318</t>
        </is>
      </c>
      <c r="C19" s="2" t="inlineStr">
        <is>
          <t>Certificazione ISO 9001: costi di prima certificazione</t>
        </is>
      </c>
      <c r="D19" s="2" t="inlineStr">
        <is>
          <t>DevOps Collective S.r.l.</t>
        </is>
      </c>
      <c r="E19" s="3" t="n">
        <v>44842</v>
      </c>
      <c r="F19" s="4" t="n">
        <v>0.2</v>
      </c>
      <c r="G19" s="5" t="n">
        <v>572</v>
      </c>
      <c r="H19" s="5" t="n">
        <v>182</v>
      </c>
      <c r="I19" s="5">
        <f>G19-H19</f>
        <v/>
      </c>
      <c r="J19" s="5" t="n">
        <v>60</v>
      </c>
    </row>
    <row r="20">
      <c r="A20" s="2" t="inlineStr">
        <is>
          <t>Concessioni, licenze, marchi e diritti simili</t>
        </is>
      </c>
      <c r="B20" s="2" t="inlineStr">
        <is>
          <t>IMM-319</t>
        </is>
      </c>
      <c r="C20" s="2" t="inlineStr">
        <is>
          <t>Certificazione ISO/IEC 27001: costi di prima certificazione</t>
        </is>
      </c>
      <c r="D20" s="2" t="inlineStr">
        <is>
          <t>DevOps Collective S.r.l.</t>
        </is>
      </c>
      <c r="E20" s="3" t="n">
        <v>45192</v>
      </c>
      <c r="F20" s="4" t="n">
        <v>0.2</v>
      </c>
      <c r="G20" s="5" t="n">
        <v>1168</v>
      </c>
      <c r="H20" s="5" t="n">
        <v>278</v>
      </c>
      <c r="I20" s="5">
        <f>G20-H20</f>
        <v/>
      </c>
      <c r="J20" s="5" t="n">
        <v>123</v>
      </c>
    </row>
    <row r="21">
      <c r="A21" s="2" t="inlineStr">
        <is>
          <t>Concessioni, licenze, marchi e diritti simili</t>
        </is>
      </c>
      <c r="B21" s="2" t="inlineStr">
        <is>
          <t>IMM-320</t>
        </is>
      </c>
      <c r="C21" s="2" t="inlineStr">
        <is>
          <t>Licenze d'uso di certificati e domini pluriennali</t>
        </is>
      </c>
      <c r="D21" s="2" t="inlineStr">
        <is>
          <t>DataCenter Piemonte S.r.l.</t>
        </is>
      </c>
      <c r="E21" s="3" t="n">
        <v>45376</v>
      </c>
      <c r="F21" s="4" t="n">
        <v>0.2</v>
      </c>
      <c r="G21" s="5" t="n">
        <v>1352</v>
      </c>
      <c r="H21" s="5" t="n">
        <v>204</v>
      </c>
      <c r="I21" s="5">
        <f>G21-H21</f>
        <v/>
      </c>
      <c r="J21" s="5" t="n">
        <v>142</v>
      </c>
    </row>
    <row r="22">
      <c r="A22" s="2" t="inlineStr">
        <is>
          <t>Concessioni, licenze, marchi e diritti simili</t>
        </is>
      </c>
      <c r="B22" s="2" t="inlineStr">
        <is>
          <t>IMM-321</t>
        </is>
      </c>
      <c r="C22" s="2" t="inlineStr">
        <is>
          <t>Rinnovo marchi e registrazione nome a dominio estero</t>
        </is>
      </c>
      <c r="D22" s="2" t="inlineStr">
        <is>
          <t>Consulenti del Lavoro Torino Centro</t>
        </is>
      </c>
      <c r="E22" s="3" t="n">
        <v>45794</v>
      </c>
      <c r="F22" s="4" t="n">
        <v>0.2</v>
      </c>
      <c r="G22" s="5" t="n">
        <v>1456</v>
      </c>
      <c r="H22" s="5" t="n">
        <v>76</v>
      </c>
      <c r="I22" s="5">
        <f>G22-H22</f>
        <v/>
      </c>
      <c r="J22" s="5" t="n">
        <v>76</v>
      </c>
    </row>
    <row r="23">
      <c r="A23" s="2" t="inlineStr">
        <is>
          <t>Altre immobilizzazioni immateriali (migliorie su beni di terzi)</t>
        </is>
      </c>
      <c r="B23" s="2" t="inlineStr">
        <is>
          <t>IMM-422</t>
        </is>
      </c>
      <c r="C23" s="2" t="inlineStr">
        <is>
          <t>Migliorie su beni di terzi: sede legale di via Garibaldi (pareti e impianti)</t>
        </is>
      </c>
      <c r="D23" s="2" t="inlineStr">
        <is>
          <t>Hardware Piemonte S.p.A.</t>
        </is>
      </c>
      <c r="E23" s="3" t="n">
        <v>42454</v>
      </c>
      <c r="F23" s="4" t="n">
        <v>0.2</v>
      </c>
      <c r="G23" s="5" t="n">
        <v>4500</v>
      </c>
      <c r="H23" s="5" t="n">
        <v>4500</v>
      </c>
      <c r="I23" s="5">
        <f>G23-H23</f>
        <v/>
      </c>
      <c r="J23" s="5" t="n">
        <v>0</v>
      </c>
    </row>
    <row r="24">
      <c r="A24" s="2" t="inlineStr">
        <is>
          <t>Altre immobilizzazioni immateriali (migliorie su beni di terzi)</t>
        </is>
      </c>
      <c r="B24" s="2" t="inlineStr">
        <is>
          <t>IMM-423</t>
        </is>
      </c>
      <c r="C24" s="2" t="inlineStr">
        <is>
          <t>Migliorie su beni di terzi: sala server e cablaggio dedicato</t>
        </is>
      </c>
      <c r="D24" s="2" t="inlineStr">
        <is>
          <t>Tecnoservizi Informatici S.r.l.</t>
        </is>
      </c>
      <c r="E24" s="3" t="n">
        <v>43655</v>
      </c>
      <c r="F24" s="4" t="n">
        <v>0.2</v>
      </c>
      <c r="G24" s="5" t="n">
        <v>3000</v>
      </c>
      <c r="H24" s="5" t="n">
        <v>2867</v>
      </c>
      <c r="I24" s="5">
        <f>G24-H24</f>
        <v/>
      </c>
      <c r="J24" s="5" t="n">
        <v>249</v>
      </c>
    </row>
    <row r="25">
      <c r="A25" s="2" t="inlineStr">
        <is>
          <t>Altre immobilizzazioni immateriali (migliorie su beni di terzi)</t>
        </is>
      </c>
      <c r="B25" s="2" t="inlineStr">
        <is>
          <t>IMM-424</t>
        </is>
      </c>
      <c r="C25" s="2" t="inlineStr">
        <is>
          <t>Migliorie su beni di terzi: unità locale di corso Francia (laboratorio dati)</t>
        </is>
      </c>
      <c r="D25" s="2" t="inlineStr">
        <is>
          <t>Arredi Ufficio Piemonte S.r.l.</t>
        </is>
      </c>
      <c r="E25" s="3" t="n">
        <v>44462</v>
      </c>
      <c r="F25" s="4" t="n">
        <v>0.2</v>
      </c>
      <c r="G25" s="5" t="n">
        <v>7500</v>
      </c>
      <c r="H25" s="5" t="n">
        <v>3860</v>
      </c>
      <c r="I25" s="5">
        <f>G25-H25</f>
        <v/>
      </c>
      <c r="J25" s="5" t="n">
        <v>621</v>
      </c>
    </row>
    <row r="26">
      <c r="A26" s="2" t="inlineStr">
        <is>
          <t>Altre immobilizzazioni immateriali (migliorie su beni di terzi)</t>
        </is>
      </c>
      <c r="B26" s="2" t="inlineStr">
        <is>
          <t>IMM-425</t>
        </is>
      </c>
      <c r="C26" s="2" t="inlineStr">
        <is>
          <t>Migliorie su beni di terzi: ampliamento sala riunioni</t>
        </is>
      </c>
      <c r="D26" s="2" t="inlineStr">
        <is>
          <t>Network Solutions Italia S.r.l.</t>
        </is>
      </c>
      <c r="E26" s="3" t="n">
        <v>44736</v>
      </c>
      <c r="F26" s="4" t="n">
        <v>0.2</v>
      </c>
      <c r="G26" s="5" t="n">
        <v>858</v>
      </c>
      <c r="H26" s="5" t="n">
        <v>230</v>
      </c>
      <c r="I26" s="5">
        <f>G26-H26</f>
        <v/>
      </c>
      <c r="J26" s="5" t="n">
        <v>71</v>
      </c>
    </row>
    <row r="27">
      <c r="A27" s="2" t="inlineStr">
        <is>
          <t>Altre immobilizzazioni immateriali (migliorie su beni di terzi)</t>
        </is>
      </c>
      <c r="B27" s="2" t="inlineStr">
        <is>
          <t>IMM-426</t>
        </is>
      </c>
      <c r="C27" s="2" t="inlineStr">
        <is>
          <t>Migliorie su beni di terzi: cabina di proiezione e area formazione</t>
        </is>
      </c>
      <c r="D27" s="2" t="inlineStr">
        <is>
          <t>Arredi Ufficio Piemonte S.r.l.</t>
        </is>
      </c>
      <c r="E27" s="3" t="n">
        <v>45026</v>
      </c>
      <c r="F27" s="4" t="n">
        <v>0.2</v>
      </c>
      <c r="G27" s="5" t="n">
        <v>1752</v>
      </c>
      <c r="H27" s="5" t="n">
        <v>358</v>
      </c>
      <c r="I27" s="5">
        <f>G27-H27</f>
        <v/>
      </c>
      <c r="J27" s="5" t="n">
        <v>145</v>
      </c>
    </row>
    <row r="28">
      <c r="A28" s="2" t="inlineStr">
        <is>
          <t>Altre immobilizzazioni immateriali (migliorie su beni di terzi)</t>
        </is>
      </c>
      <c r="B28" s="2" t="inlineStr">
        <is>
          <t>IMM-427</t>
        </is>
      </c>
      <c r="C28" s="2" t="inlineStr">
        <is>
          <t>Migliorie su beni di terzi: illuminazione e insonorizzazione open space</t>
        </is>
      </c>
      <c r="D28" s="2" t="inlineStr">
        <is>
          <t>Network Solutions Italia S.r.l.</t>
        </is>
      </c>
      <c r="E28" s="3" t="n">
        <v>45520</v>
      </c>
      <c r="F28" s="4" t="n">
        <v>0.2</v>
      </c>
      <c r="G28" s="5" t="n">
        <v>2028</v>
      </c>
      <c r="H28" s="5" t="n">
        <v>253</v>
      </c>
      <c r="I28" s="5">
        <f>G28-H28</f>
        <v/>
      </c>
      <c r="J28" s="5" t="n">
        <v>168</v>
      </c>
    </row>
    <row r="29">
      <c r="A29" s="2" t="inlineStr">
        <is>
          <t>Altre immobilizzazioni immateriali (migliorie su beni di terzi)</t>
        </is>
      </c>
      <c r="B29" s="2" t="inlineStr">
        <is>
          <t>IMM-428</t>
        </is>
      </c>
      <c r="C29" s="2" t="inlineStr">
        <is>
          <t>Migliorie su beni di terzi: rifacimento dei servizi e dell'area ristoro</t>
        </is>
      </c>
      <c r="D29" s="2" t="inlineStr">
        <is>
          <t>Tecnoservizi Informatici S.r.l.</t>
        </is>
      </c>
      <c r="E29" s="3" t="n">
        <v>45832</v>
      </c>
      <c r="F29" s="4" t="n">
        <v>0.2</v>
      </c>
      <c r="G29" s="5" t="n">
        <v>2184</v>
      </c>
      <c r="H29" s="5" t="n">
        <v>90</v>
      </c>
      <c r="I29" s="5">
        <f>G29-H29</f>
        <v/>
      </c>
      <c r="J29" s="5" t="n">
        <v>90</v>
      </c>
    </row>
    <row r="30">
      <c r="A30" s="2" t="inlineStr">
        <is>
          <t>Impianti e macchinario (impianti di rete e cablaggio)</t>
        </is>
      </c>
      <c r="B30" s="2" t="inlineStr">
        <is>
          <t>TNG-101</t>
        </is>
      </c>
      <c r="C30" s="2" t="inlineStr">
        <is>
          <t>Cablaggio strutturato degli uffici di via Garibaldi</t>
        </is>
      </c>
      <c r="D30" s="2" t="inlineStr">
        <is>
          <t>Hardware Piemonte S.p.A.</t>
        </is>
      </c>
      <c r="E30" s="3" t="n">
        <v>42835</v>
      </c>
      <c r="F30" s="4" t="n">
        <v>0.15</v>
      </c>
      <c r="G30" s="5" t="n">
        <v>9800</v>
      </c>
      <c r="H30" s="5" t="n">
        <v>9800</v>
      </c>
      <c r="I30" s="5">
        <f>G30-H30</f>
        <v/>
      </c>
      <c r="J30" s="5" t="n">
        <v>0</v>
      </c>
    </row>
    <row r="31">
      <c r="A31" s="2" t="inlineStr">
        <is>
          <t>Impianti e macchinario (impianti di rete e cablaggio)</t>
        </is>
      </c>
      <c r="B31" s="2" t="inlineStr">
        <is>
          <t>TNG-102</t>
        </is>
      </c>
      <c r="C31" s="2" t="inlineStr">
        <is>
          <t>Impianto di condizionamento della sede</t>
        </is>
      </c>
      <c r="D31" s="2" t="inlineStr">
        <is>
          <t>Arredi Ufficio Piemonte S.r.l.</t>
        </is>
      </c>
      <c r="E31" s="3" t="n">
        <v>43275</v>
      </c>
      <c r="F31" s="4" t="n">
        <v>0.15</v>
      </c>
      <c r="G31" s="5" t="n">
        <v>8400</v>
      </c>
      <c r="H31" s="5" t="n">
        <v>8400</v>
      </c>
      <c r="I31" s="5">
        <f>G31-H31</f>
        <v/>
      </c>
      <c r="J31" s="5" t="n">
        <v>705</v>
      </c>
    </row>
    <row r="32">
      <c r="A32" s="2" t="inlineStr">
        <is>
          <t>Impianti e macchinario (impianti di rete e cablaggio)</t>
        </is>
      </c>
      <c r="B32" s="2" t="inlineStr">
        <is>
          <t>TNG-103</t>
        </is>
      </c>
      <c r="C32" s="2" t="inlineStr">
        <is>
          <t>Impianto di videosorveglianza e controllo accessi</t>
        </is>
      </c>
      <c r="D32" s="2" t="inlineStr">
        <is>
          <t>Tecnoservizi Informatici S.r.l.</t>
        </is>
      </c>
      <c r="E32" s="3" t="n">
        <v>44112</v>
      </c>
      <c r="F32" s="4" t="n">
        <v>0.15</v>
      </c>
      <c r="G32" s="5" t="n">
        <v>5600</v>
      </c>
      <c r="H32" s="5" t="n">
        <v>4186</v>
      </c>
      <c r="I32" s="5">
        <f>G32-H32</f>
        <v/>
      </c>
      <c r="J32" s="5" t="n">
        <v>827</v>
      </c>
    </row>
    <row r="33">
      <c r="A33" s="2" t="inlineStr">
        <is>
          <t>Impianti e macchinario (impianti di rete e cablaggio)</t>
        </is>
      </c>
      <c r="B33" s="2" t="inlineStr">
        <is>
          <t>TNG-104</t>
        </is>
      </c>
      <c r="C33" s="2" t="inlineStr">
        <is>
          <t>Impianto elettrico di continuità (UPS) della sala server</t>
        </is>
      </c>
      <c r="D33" s="2" t="inlineStr">
        <is>
          <t>Tecnoservizi Informatici S.r.l.</t>
        </is>
      </c>
      <c r="E33" s="3" t="n">
        <v>44280</v>
      </c>
      <c r="F33" s="4" t="n">
        <v>0.15</v>
      </c>
      <c r="G33" s="5" t="n">
        <v>4200</v>
      </c>
      <c r="H33" s="5" t="n">
        <v>2475</v>
      </c>
      <c r="I33" s="5">
        <f>G33-H33</f>
        <v/>
      </c>
      <c r="J33" s="5" t="n">
        <v>620</v>
      </c>
    </row>
    <row r="34">
      <c r="A34" s="2" t="inlineStr">
        <is>
          <t>Impianti e macchinario (impianti di rete e cablaggio)</t>
        </is>
      </c>
      <c r="B34" s="2" t="inlineStr">
        <is>
          <t>TNG-105</t>
        </is>
      </c>
      <c r="C34" s="2" t="inlineStr">
        <is>
          <t>Impianto di rete wireless degli uffici</t>
        </is>
      </c>
      <c r="D34" s="2" t="inlineStr">
        <is>
          <t>Arredi Ufficio Piemonte S.r.l.</t>
        </is>
      </c>
      <c r="E34" s="3" t="n">
        <v>44698</v>
      </c>
      <c r="F34" s="4" t="n">
        <v>0.15</v>
      </c>
      <c r="G34" s="5" t="n">
        <v>2796</v>
      </c>
      <c r="H34" s="5" t="n">
        <v>1095</v>
      </c>
      <c r="I34" s="5">
        <f>G34-H34</f>
        <v/>
      </c>
      <c r="J34" s="5" t="n">
        <v>413</v>
      </c>
    </row>
    <row r="35">
      <c r="A35" s="2" t="inlineStr">
        <is>
          <t>Impianti e macchinario (impianti di rete e cablaggio)</t>
        </is>
      </c>
      <c r="B35" s="2" t="inlineStr">
        <is>
          <t>TNG-106</t>
        </is>
      </c>
      <c r="C35" s="2" t="inlineStr">
        <is>
          <t>Impianto di rilevazione presenze e domotica leggera</t>
        </is>
      </c>
      <c r="D35" s="2" t="inlineStr">
        <is>
          <t>Network Solutions Italia S.r.l.</t>
        </is>
      </c>
      <c r="E35" s="3" t="n">
        <v>45192</v>
      </c>
      <c r="F35" s="4" t="n">
        <v>0.15</v>
      </c>
      <c r="G35" s="5" t="n">
        <v>3708</v>
      </c>
      <c r="H35" s="5" t="n">
        <v>1146</v>
      </c>
      <c r="I35" s="5">
        <f>G35-H35</f>
        <v/>
      </c>
      <c r="J35" s="5" t="n">
        <v>547</v>
      </c>
    </row>
    <row r="36">
      <c r="A36" s="2" t="inlineStr">
        <is>
          <t>Impianti e macchinario (impianti di rete e cablaggio)</t>
        </is>
      </c>
      <c r="B36" s="2" t="inlineStr">
        <is>
          <t>TNG-107</t>
        </is>
      </c>
      <c r="C36" s="2" t="inlineStr">
        <is>
          <t>Impianto di audio-videoconferenza della sala riunioni</t>
        </is>
      </c>
      <c r="D36" s="2" t="inlineStr">
        <is>
          <t>Hardware Piemonte S.p.A.</t>
        </is>
      </c>
      <c r="E36" s="3" t="n">
        <v>45482</v>
      </c>
      <c r="F36" s="4" t="n">
        <v>0.15</v>
      </c>
      <c r="G36" s="5" t="n">
        <v>4392</v>
      </c>
      <c r="H36" s="5" t="n">
        <v>908</v>
      </c>
      <c r="I36" s="5">
        <f>G36-H36</f>
        <v/>
      </c>
      <c r="J36" s="5" t="n">
        <v>649</v>
      </c>
    </row>
    <row r="37">
      <c r="A37" s="2" t="inlineStr">
        <is>
          <t>Impianti e macchinario (impianti di rete e cablaggio)</t>
        </is>
      </c>
      <c r="B37" s="2" t="inlineStr">
        <is>
          <t>TNG-108</t>
        </is>
      </c>
      <c r="C37" s="2" t="inlineStr">
        <is>
          <t>Impianto di ricarica elettrica per veicoli aziendali</t>
        </is>
      </c>
      <c r="D37" s="2" t="inlineStr">
        <is>
          <t>Arredi Ufficio Piemonte S.r.l.</t>
        </is>
      </c>
      <c r="E37" s="3" t="n">
        <v>45976</v>
      </c>
      <c r="F37" s="4" t="n">
        <v>0.15</v>
      </c>
      <c r="G37" s="5" t="n">
        <v>4884</v>
      </c>
      <c r="H37" s="5" t="n">
        <v>360</v>
      </c>
      <c r="I37" s="5">
        <f>G37-H37</f>
        <v/>
      </c>
      <c r="J37" s="5" t="n">
        <v>360</v>
      </c>
    </row>
    <row r="38">
      <c r="A38" s="2" t="inlineStr">
        <is>
          <t>Attrezzature industriali e commerciali (server e apparati di test)</t>
        </is>
      </c>
      <c r="B38" s="2" t="inlineStr">
        <is>
          <t>TNG-209</t>
        </is>
      </c>
      <c r="C38" s="2" t="inlineStr">
        <is>
          <t>Server di produzione (cluster di tre nodi)</t>
        </is>
      </c>
      <c r="D38" s="2" t="inlineStr">
        <is>
          <t>Network Solutions Italia S.r.l.</t>
        </is>
      </c>
      <c r="E38" s="3" t="n">
        <v>43237</v>
      </c>
      <c r="F38" s="4" t="n">
        <v>0.2</v>
      </c>
      <c r="G38" s="5" t="n">
        <v>18300</v>
      </c>
      <c r="H38" s="5" t="n">
        <v>18300</v>
      </c>
      <c r="I38" s="5">
        <f>G38-H38</f>
        <v/>
      </c>
      <c r="J38" s="5" t="n">
        <v>0</v>
      </c>
    </row>
    <row r="39">
      <c r="A39" s="2" t="inlineStr">
        <is>
          <t>Attrezzature industriali e commerciali (server e apparati di test)</t>
        </is>
      </c>
      <c r="B39" s="2" t="inlineStr">
        <is>
          <t>TNG-210</t>
        </is>
      </c>
      <c r="C39" s="2" t="inlineStr">
        <is>
          <t>Server di test e integrazione</t>
        </is>
      </c>
      <c r="D39" s="2" t="inlineStr">
        <is>
          <t>Hardware Piemonte S.p.A.</t>
        </is>
      </c>
      <c r="E39" s="3" t="n">
        <v>43731</v>
      </c>
      <c r="F39" s="4" t="n">
        <v>0.2</v>
      </c>
      <c r="G39" s="5" t="n">
        <v>12200</v>
      </c>
      <c r="H39" s="5" t="n">
        <v>12200</v>
      </c>
      <c r="I39" s="5">
        <f>G39-H39</f>
        <v/>
      </c>
      <c r="J39" s="5" t="n">
        <v>0</v>
      </c>
    </row>
    <row r="40">
      <c r="A40" s="2" t="inlineStr">
        <is>
          <t>Attrezzature industriali e commerciali (server e apparati di test)</t>
        </is>
      </c>
      <c r="B40" s="2" t="inlineStr">
        <is>
          <t>TNG-211</t>
        </is>
      </c>
      <c r="C40" s="2" t="inlineStr">
        <is>
          <t>Apparati di rete e firewall di perimetro</t>
        </is>
      </c>
      <c r="D40" s="2" t="inlineStr">
        <is>
          <t>Network Solutions Italia S.r.l.</t>
        </is>
      </c>
      <c r="E40" s="3" t="n">
        <v>43879</v>
      </c>
      <c r="F40" s="4" t="n">
        <v>0.2</v>
      </c>
      <c r="G40" s="5" t="n">
        <v>12200</v>
      </c>
      <c r="H40" s="5" t="n">
        <v>11445</v>
      </c>
      <c r="I40" s="5">
        <f>G40-H40</f>
        <v/>
      </c>
      <c r="J40" s="5" t="n">
        <v>1758</v>
      </c>
    </row>
    <row r="41">
      <c r="A41" s="2" t="inlineStr">
        <is>
          <t>Attrezzature industriali e commerciali (server e apparati di test)</t>
        </is>
      </c>
      <c r="B41" s="2" t="inlineStr">
        <is>
          <t>TNG-212</t>
        </is>
      </c>
      <c r="C41" s="2" t="inlineStr">
        <is>
          <t>Sistema di storage e backup</t>
        </is>
      </c>
      <c r="D41" s="2" t="inlineStr">
        <is>
          <t>Network Solutions Italia S.r.l.</t>
        </is>
      </c>
      <c r="E41" s="3" t="n">
        <v>44515</v>
      </c>
      <c r="F41" s="4" t="n">
        <v>0.2</v>
      </c>
      <c r="G41" s="5" t="n">
        <v>18300</v>
      </c>
      <c r="H41" s="5" t="n">
        <v>12847</v>
      </c>
      <c r="I41" s="5">
        <f>G41-H41</f>
        <v/>
      </c>
      <c r="J41" s="5" t="n">
        <v>2637</v>
      </c>
    </row>
    <row r="42">
      <c r="A42" s="2" t="inlineStr">
        <is>
          <t>Attrezzature industriali e commerciali (server e apparati di test)</t>
        </is>
      </c>
      <c r="B42" s="2" t="inlineStr">
        <is>
          <t>TNG-213</t>
        </is>
      </c>
      <c r="C42" s="2" t="inlineStr">
        <is>
          <t>Parco dispositivi di test mobile (smartphone e tablet)</t>
        </is>
      </c>
      <c r="D42" s="2" t="inlineStr">
        <is>
          <t>Auto e Mobilità Torino S.p.A.</t>
        </is>
      </c>
      <c r="E42" s="3" t="n">
        <v>44645</v>
      </c>
      <c r="F42" s="4" t="n">
        <v>0.2</v>
      </c>
      <c r="G42" s="5" t="n">
        <v>6058</v>
      </c>
      <c r="H42" s="5" t="n">
        <v>2572</v>
      </c>
      <c r="I42" s="5">
        <f>G42-H42</f>
        <v/>
      </c>
      <c r="J42" s="5" t="n">
        <v>873</v>
      </c>
    </row>
    <row r="43">
      <c r="A43" s="2" t="inlineStr">
        <is>
          <t>Attrezzature industriali e commerciali (server e apparati di test)</t>
        </is>
      </c>
      <c r="B43" s="2" t="inlineStr">
        <is>
          <t>TNG-214</t>
        </is>
      </c>
      <c r="C43" s="2" t="inlineStr">
        <is>
          <t>Nodo aggiuntivo di calcolo per la piattaforma</t>
        </is>
      </c>
      <c r="D43" s="2" t="inlineStr">
        <is>
          <t>Hardware Piemonte S.p.A.</t>
        </is>
      </c>
      <c r="E43" s="3" t="n">
        <v>45101</v>
      </c>
      <c r="F43" s="4" t="n">
        <v>0.2</v>
      </c>
      <c r="G43" s="5" t="n">
        <v>8034</v>
      </c>
      <c r="H43" s="5" t="n">
        <v>2629</v>
      </c>
      <c r="I43" s="5">
        <f>G43-H43</f>
        <v/>
      </c>
      <c r="J43" s="5" t="n">
        <v>1158</v>
      </c>
    </row>
    <row r="44">
      <c r="A44" s="2" t="inlineStr">
        <is>
          <t>Attrezzature industriali e commerciali (server e apparati di test)</t>
        </is>
      </c>
      <c r="B44" s="2" t="inlineStr">
        <is>
          <t>TNG-215</t>
        </is>
      </c>
      <c r="C44" s="2" t="inlineStr">
        <is>
          <t>Apparati di laboratorio dati di corso Francia</t>
        </is>
      </c>
      <c r="D44" s="2" t="inlineStr">
        <is>
          <t>Hardware Piemonte S.p.A.</t>
        </is>
      </c>
      <c r="E44" s="3" t="n">
        <v>45573</v>
      </c>
      <c r="F44" s="4" t="n">
        <v>0.2</v>
      </c>
      <c r="G44" s="5" t="n">
        <v>9516</v>
      </c>
      <c r="H44" s="5" t="n">
        <v>1975</v>
      </c>
      <c r="I44" s="5">
        <f>G44-H44</f>
        <v/>
      </c>
      <c r="J44" s="5" t="n">
        <v>1371</v>
      </c>
    </row>
    <row r="45">
      <c r="A45" s="2" t="inlineStr">
        <is>
          <t>Attrezzature industriali e commerciali (server e apparati di test)</t>
        </is>
      </c>
      <c r="B45" s="2" t="inlineStr">
        <is>
          <t>TNG-216</t>
        </is>
      </c>
      <c r="C45" s="2" t="inlineStr">
        <is>
          <t>Rinnovo del sistema di storage e backup</t>
        </is>
      </c>
      <c r="D45" s="2" t="inlineStr">
        <is>
          <t>Tecnoservizi Informatici S.r.l.</t>
        </is>
      </c>
      <c r="E45" s="3" t="n">
        <v>45757</v>
      </c>
      <c r="F45" s="4" t="n">
        <v>0.2</v>
      </c>
      <c r="G45" s="5" t="n">
        <v>10582</v>
      </c>
      <c r="H45" s="5" t="n">
        <v>762</v>
      </c>
      <c r="I45" s="5">
        <f>G45-H45</f>
        <v/>
      </c>
      <c r="J45" s="5" t="n">
        <v>762</v>
      </c>
    </row>
    <row r="46">
      <c r="A46" s="2" t="inlineStr">
        <is>
          <t>Altri beni: macchine d'ufficio elettroniche</t>
        </is>
      </c>
      <c r="B46" s="2" t="inlineStr">
        <is>
          <t>TNG-317</t>
        </is>
      </c>
      <c r="C46" s="2" t="inlineStr">
        <is>
          <t>Workstation di sviluppo (primo lotto)</t>
        </is>
      </c>
      <c r="D46" s="2" t="inlineStr">
        <is>
          <t>Arredi Ufficio Piemonte S.r.l.</t>
        </is>
      </c>
      <c r="E46" s="3" t="n">
        <v>42872</v>
      </c>
      <c r="F46" s="4" t="n">
        <v>0.2</v>
      </c>
      <c r="G46" s="5" t="n">
        <v>16800</v>
      </c>
      <c r="H46" s="5" t="n">
        <v>16800</v>
      </c>
      <c r="I46" s="5">
        <f>G46-H46</f>
        <v/>
      </c>
      <c r="J46" s="5" t="n">
        <v>0</v>
      </c>
    </row>
    <row r="47">
      <c r="A47" s="2" t="inlineStr">
        <is>
          <t>Altri beni: macchine d'ufficio elettroniche</t>
        </is>
      </c>
      <c r="B47" s="2" t="inlineStr">
        <is>
          <t>TNG-318</t>
        </is>
      </c>
      <c r="C47" s="2" t="inlineStr">
        <is>
          <t>Notebook di sviluppo (secondo lotto)</t>
        </is>
      </c>
      <c r="D47" s="2" t="inlineStr">
        <is>
          <t>Arredi Ufficio Piemonte S.r.l.</t>
        </is>
      </c>
      <c r="E47" s="3" t="n">
        <v>43549</v>
      </c>
      <c r="F47" s="4" t="n">
        <v>0.2</v>
      </c>
      <c r="G47" s="5" t="n">
        <v>25200</v>
      </c>
      <c r="H47" s="5" t="n">
        <v>25200</v>
      </c>
      <c r="I47" s="5">
        <f>G47-H47</f>
        <v/>
      </c>
      <c r="J47" s="5" t="n">
        <v>0</v>
      </c>
    </row>
    <row r="48">
      <c r="A48" s="2" t="inlineStr">
        <is>
          <t>Altri beni: macchine d'ufficio elettroniche</t>
        </is>
      </c>
      <c r="B48" s="2" t="inlineStr">
        <is>
          <t>TNG-319</t>
        </is>
      </c>
      <c r="C48" s="2" t="inlineStr">
        <is>
          <t>Monitor 27 pollici (lotto)</t>
        </is>
      </c>
      <c r="D48" s="2" t="inlineStr">
        <is>
          <t>Network Solutions Italia S.r.l.</t>
        </is>
      </c>
      <c r="E48" s="3" t="n">
        <v>44097</v>
      </c>
      <c r="F48" s="4" t="n">
        <v>0.2</v>
      </c>
      <c r="G48" s="5" t="n">
        <v>12600</v>
      </c>
      <c r="H48" s="5" t="n">
        <v>12600</v>
      </c>
      <c r="I48" s="5">
        <f>G48-H48</f>
        <v/>
      </c>
      <c r="J48" s="5" t="n">
        <v>0</v>
      </c>
    </row>
    <row r="49">
      <c r="A49" s="2" t="inlineStr">
        <is>
          <t>Altri beni: macchine d'ufficio elettroniche</t>
        </is>
      </c>
      <c r="B49" s="2" t="inlineStr">
        <is>
          <t>TNG-320</t>
        </is>
      </c>
      <c r="C49" s="2" t="inlineStr">
        <is>
          <t>Stazione di lavoro grafica per la progettazione UX</t>
        </is>
      </c>
      <c r="D49" s="2" t="inlineStr">
        <is>
          <t>Tecnoservizi Informatici S.r.l.</t>
        </is>
      </c>
      <c r="E49" s="3" t="n">
        <v>44371</v>
      </c>
      <c r="F49" s="4" t="n">
        <v>0.2</v>
      </c>
      <c r="G49" s="5" t="n">
        <v>12600</v>
      </c>
      <c r="H49" s="5" t="n">
        <v>12575</v>
      </c>
      <c r="I49" s="5">
        <f>G49-H49</f>
        <v/>
      </c>
      <c r="J49" s="5" t="n">
        <v>2142</v>
      </c>
    </row>
    <row r="50">
      <c r="A50" s="2" t="inlineStr">
        <is>
          <t>Altri beni: macchine d'ufficio elettroniche</t>
        </is>
      </c>
      <c r="B50" s="2" t="inlineStr">
        <is>
          <t>TNG-321</t>
        </is>
      </c>
      <c r="C50" s="2" t="inlineStr">
        <is>
          <t>Notebook di sviluppo (terzo lotto)</t>
        </is>
      </c>
      <c r="D50" s="2" t="inlineStr">
        <is>
          <t>Arredi Ufficio Piemonte S.r.l.</t>
        </is>
      </c>
      <c r="E50" s="3" t="n">
        <v>44477</v>
      </c>
      <c r="F50" s="4" t="n">
        <v>0.2</v>
      </c>
      <c r="G50" s="5" t="n">
        <v>16800</v>
      </c>
      <c r="H50" s="5" t="n">
        <v>16770</v>
      </c>
      <c r="I50" s="5">
        <f>G50-H50</f>
        <v/>
      </c>
      <c r="J50" s="5" t="n">
        <v>2857</v>
      </c>
    </row>
    <row r="51">
      <c r="A51" s="2" t="inlineStr">
        <is>
          <t>Altri beni: macchine d'ufficio elettroniche</t>
        </is>
      </c>
      <c r="B51" s="2" t="inlineStr">
        <is>
          <t>TNG-322</t>
        </is>
      </c>
      <c r="C51" s="2" t="inlineStr">
        <is>
          <t>Workstation di sviluppo e notebook (lotto 2022)</t>
        </is>
      </c>
      <c r="D51" s="2" t="inlineStr">
        <is>
          <t>Auto e Mobilità Torino S.p.A.</t>
        </is>
      </c>
      <c r="E51" s="3" t="n">
        <v>44661</v>
      </c>
      <c r="F51" s="4" t="n">
        <v>0.2</v>
      </c>
      <c r="G51" s="5" t="n">
        <v>10252</v>
      </c>
      <c r="H51" s="5" t="n">
        <v>5940</v>
      </c>
      <c r="I51" s="5">
        <f>G51-H51</f>
        <v/>
      </c>
      <c r="J51" s="5" t="n">
        <v>1743</v>
      </c>
    </row>
    <row r="52">
      <c r="A52" s="2" t="inlineStr">
        <is>
          <t>Altri beni: macchine d'ufficio elettroniche</t>
        </is>
      </c>
      <c r="B52" s="2" t="inlineStr">
        <is>
          <t>TNG-323</t>
        </is>
      </c>
      <c r="C52" s="2" t="inlineStr">
        <is>
          <t>Notebook e dispositivi per i nuovi assunti (lotto 2023)</t>
        </is>
      </c>
      <c r="D52" s="2" t="inlineStr">
        <is>
          <t>Hardware Piemonte S.p.A.</t>
        </is>
      </c>
      <c r="E52" s="3" t="n">
        <v>45154</v>
      </c>
      <c r="F52" s="4" t="n">
        <v>0.2</v>
      </c>
      <c r="G52" s="5" t="n">
        <v>13596</v>
      </c>
      <c r="H52" s="5" t="n">
        <v>5924</v>
      </c>
      <c r="I52" s="5">
        <f>G52-H52</f>
        <v/>
      </c>
      <c r="J52" s="5" t="n">
        <v>2312</v>
      </c>
    </row>
    <row r="53">
      <c r="A53" s="2" t="inlineStr">
        <is>
          <t>Altri beni: macchine d'ufficio elettroniche</t>
        </is>
      </c>
      <c r="B53" s="2" t="inlineStr">
        <is>
          <t>TNG-324</t>
        </is>
      </c>
      <c r="C53" s="2" t="inlineStr">
        <is>
          <t>Notebook, monitor e dock per i nuovi assunti (lotto 2024)</t>
        </is>
      </c>
      <c r="D53" s="2" t="inlineStr">
        <is>
          <t>Network Solutions Italia S.r.l.</t>
        </is>
      </c>
      <c r="E53" s="3" t="n">
        <v>45429</v>
      </c>
      <c r="F53" s="4" t="n">
        <v>0.2</v>
      </c>
      <c r="G53" s="5" t="n">
        <v>16104</v>
      </c>
      <c r="H53" s="5" t="n">
        <v>4249</v>
      </c>
      <c r="I53" s="5">
        <f>G53-H53</f>
        <v/>
      </c>
      <c r="J53" s="5" t="n">
        <v>2738</v>
      </c>
    </row>
    <row r="54">
      <c r="A54" s="2" t="inlineStr">
        <is>
          <t>Altri beni: macchine d'ufficio elettroniche</t>
        </is>
      </c>
      <c r="B54" s="2" t="inlineStr">
        <is>
          <t>TNG-325</t>
        </is>
      </c>
      <c r="C54" s="2" t="inlineStr">
        <is>
          <t>Notebook e stazioni di lavoro per i nuovi assunti (lotto 2025)</t>
        </is>
      </c>
      <c r="D54" s="2" t="inlineStr">
        <is>
          <t>Auto e Mobilità Torino S.p.A.</t>
        </is>
      </c>
      <c r="E54" s="3" t="n">
        <v>45923</v>
      </c>
      <c r="F54" s="4" t="n">
        <v>0.2</v>
      </c>
      <c r="G54" s="5" t="n">
        <v>17908</v>
      </c>
      <c r="H54" s="5" t="n">
        <v>1522</v>
      </c>
      <c r="I54" s="5">
        <f>G54-H54</f>
        <v/>
      </c>
      <c r="J54" s="5" t="n">
        <v>1522</v>
      </c>
    </row>
    <row r="55">
      <c r="A55" s="2" t="inlineStr">
        <is>
          <t>Altri beni: mobili e arredi</t>
        </is>
      </c>
      <c r="B55" s="2" t="inlineStr">
        <is>
          <t>TNG-426</t>
        </is>
      </c>
      <c r="C55" s="2" t="inlineStr">
        <is>
          <t>Scrivanie operative (lotto iniziale)</t>
        </is>
      </c>
      <c r="D55" s="2" t="inlineStr">
        <is>
          <t>Auto e Mobilità Torino S.p.A.</t>
        </is>
      </c>
      <c r="E55" s="3" t="n">
        <v>42784</v>
      </c>
      <c r="F55" s="4" t="n">
        <v>0.12</v>
      </c>
      <c r="G55" s="5" t="n">
        <v>11025</v>
      </c>
      <c r="H55" s="5" t="n">
        <v>10218</v>
      </c>
      <c r="I55" s="5">
        <f>G55-H55</f>
        <v/>
      </c>
      <c r="J55" s="5" t="n">
        <v>935</v>
      </c>
    </row>
    <row r="56">
      <c r="A56" s="2" t="inlineStr">
        <is>
          <t>Altri beni: mobili e arredi</t>
        </is>
      </c>
      <c r="B56" s="2" t="inlineStr">
        <is>
          <t>TNG-427</t>
        </is>
      </c>
      <c r="C56" s="2" t="inlineStr">
        <is>
          <t>Sedie ergonomiche (lotto iniziale)</t>
        </is>
      </c>
      <c r="D56" s="2" t="inlineStr">
        <is>
          <t>Tecnoservizi Informatici S.r.l.</t>
        </is>
      </c>
      <c r="E56" s="3" t="n">
        <v>42784</v>
      </c>
      <c r="F56" s="4" t="n">
        <v>0.12</v>
      </c>
      <c r="G56" s="5" t="n">
        <v>6300</v>
      </c>
      <c r="H56" s="5" t="n">
        <v>5840</v>
      </c>
      <c r="I56" s="5">
        <f>G56-H56</f>
        <v/>
      </c>
      <c r="J56" s="5" t="n">
        <v>535</v>
      </c>
    </row>
    <row r="57">
      <c r="A57" s="2" t="inlineStr">
        <is>
          <t>Altri beni: mobili e arredi</t>
        </is>
      </c>
      <c r="B57" s="2" t="inlineStr">
        <is>
          <t>TNG-428</t>
        </is>
      </c>
      <c r="C57" s="2" t="inlineStr">
        <is>
          <t>Armadi e arredi della sala riunioni</t>
        </is>
      </c>
      <c r="D57" s="2" t="inlineStr">
        <is>
          <t>Arredi Ufficio Piemonte S.r.l.</t>
        </is>
      </c>
      <c r="E57" s="3" t="n">
        <v>43784</v>
      </c>
      <c r="F57" s="4" t="n">
        <v>0.12</v>
      </c>
      <c r="G57" s="5" t="n">
        <v>7875</v>
      </c>
      <c r="H57" s="5" t="n">
        <v>5340</v>
      </c>
      <c r="I57" s="5">
        <f>G57-H57</f>
        <v/>
      </c>
      <c r="J57" s="5" t="n">
        <v>668</v>
      </c>
    </row>
    <row r="58">
      <c r="A58" s="2" t="inlineStr">
        <is>
          <t>Altri beni: mobili e arredi</t>
        </is>
      </c>
      <c r="B58" s="2" t="inlineStr">
        <is>
          <t>TNG-429</t>
        </is>
      </c>
      <c r="C58" s="2" t="inlineStr">
        <is>
          <t>Arredi del laboratorio dati di corso Francia</t>
        </is>
      </c>
      <c r="D58" s="2" t="inlineStr">
        <is>
          <t>Hardware Piemonte S.p.A.</t>
        </is>
      </c>
      <c r="E58" s="3" t="n">
        <v>44462</v>
      </c>
      <c r="F58" s="4" t="n">
        <v>0.12</v>
      </c>
      <c r="G58" s="5" t="n">
        <v>6300</v>
      </c>
      <c r="H58" s="5" t="n">
        <v>2704</v>
      </c>
      <c r="I58" s="5">
        <f>G58-H58</f>
        <v/>
      </c>
      <c r="J58" s="5" t="n">
        <v>534</v>
      </c>
    </row>
    <row r="59">
      <c r="A59" s="2" t="inlineStr">
        <is>
          <t>Altri beni: mobili e arredi</t>
        </is>
      </c>
      <c r="B59" s="2" t="inlineStr">
        <is>
          <t>TNG-430</t>
        </is>
      </c>
      <c r="C59" s="2" t="inlineStr">
        <is>
          <t>Scrivanie e sedie per l'ampliamento dell'organico (2022)</t>
        </is>
      </c>
      <c r="D59" s="2" t="inlineStr">
        <is>
          <t>Hardware Piemonte S.p.A.</t>
        </is>
      </c>
      <c r="E59" s="3" t="n">
        <v>44698</v>
      </c>
      <c r="F59" s="4" t="n">
        <v>0.12</v>
      </c>
      <c r="G59" s="5" t="n">
        <v>2796</v>
      </c>
      <c r="H59" s="5" t="n">
        <v>761</v>
      </c>
      <c r="I59" s="5">
        <f>G59-H59</f>
        <v/>
      </c>
      <c r="J59" s="5" t="n">
        <v>237</v>
      </c>
    </row>
    <row r="60">
      <c r="A60" s="2" t="inlineStr">
        <is>
          <t>Altri beni: mobili e arredi</t>
        </is>
      </c>
      <c r="B60" s="2" t="inlineStr">
        <is>
          <t>TNG-431</t>
        </is>
      </c>
      <c r="C60" s="2" t="inlineStr">
        <is>
          <t>Arredi e scrivanie regolabili (2023)</t>
        </is>
      </c>
      <c r="D60" s="2" t="inlineStr">
        <is>
          <t>Auto e Mobilità Torino S.p.A.</t>
        </is>
      </c>
      <c r="E60" s="3" t="n">
        <v>45116</v>
      </c>
      <c r="F60" s="4" t="n">
        <v>0.12</v>
      </c>
      <c r="G60" s="5" t="n">
        <v>3708</v>
      </c>
      <c r="H60" s="5" t="n">
        <v>756</v>
      </c>
      <c r="I60" s="5">
        <f>G60-H60</f>
        <v/>
      </c>
      <c r="J60" s="5" t="n">
        <v>315</v>
      </c>
    </row>
    <row r="61">
      <c r="A61" s="2" t="inlineStr">
        <is>
          <t>Altri beni: mobili e arredi</t>
        </is>
      </c>
      <c r="B61" s="2" t="inlineStr">
        <is>
          <t>TNG-432</t>
        </is>
      </c>
      <c r="C61" s="2" t="inlineStr">
        <is>
          <t>Arredi per la sala formazione (2024)</t>
        </is>
      </c>
      <c r="D61" s="2" t="inlineStr">
        <is>
          <t>Tecnoservizi Informatici S.r.l.</t>
        </is>
      </c>
      <c r="E61" s="3" t="n">
        <v>45558</v>
      </c>
      <c r="F61" s="4" t="n">
        <v>0.12</v>
      </c>
      <c r="G61" s="5" t="n">
        <v>4392</v>
      </c>
      <c r="H61" s="5" t="n">
        <v>554</v>
      </c>
      <c r="I61" s="5">
        <f>G61-H61</f>
        <v/>
      </c>
      <c r="J61" s="5" t="n">
        <v>373</v>
      </c>
    </row>
    <row r="62">
      <c r="A62" s="2" t="inlineStr">
        <is>
          <t>Altri beni: mobili e arredi</t>
        </is>
      </c>
      <c r="B62" s="2" t="inlineStr">
        <is>
          <t>TNG-433</t>
        </is>
      </c>
      <c r="C62" s="2" t="inlineStr">
        <is>
          <t>Arredi e sedute per i nuovi postazioni di lavoro (2025)</t>
        </is>
      </c>
      <c r="D62" s="2" t="inlineStr">
        <is>
          <t>Arredi Ufficio Piemonte S.r.l.</t>
        </is>
      </c>
      <c r="E62" s="3" t="n">
        <v>45938</v>
      </c>
      <c r="F62" s="4" t="n">
        <v>0.12</v>
      </c>
      <c r="G62" s="5" t="n">
        <v>4884</v>
      </c>
      <c r="H62" s="5" t="n">
        <v>207</v>
      </c>
      <c r="I62" s="5">
        <f>G62-H62</f>
        <v/>
      </c>
      <c r="J62" s="5" t="n">
        <v>207</v>
      </c>
    </row>
    <row r="63">
      <c r="A63" s="2" t="inlineStr">
        <is>
          <t>Altri beni: autovetture e mezzi di trasporto interni</t>
        </is>
      </c>
      <c r="B63" s="2" t="inlineStr">
        <is>
          <t>TNG-534</t>
        </is>
      </c>
      <c r="C63" s="2" t="inlineStr">
        <is>
          <t>Autovettura aziendale ibrida di proprietà</t>
        </is>
      </c>
      <c r="D63" s="2" t="inlineStr">
        <is>
          <t>Hardware Piemonte S.p.A.</t>
        </is>
      </c>
      <c r="E63" s="3" t="n">
        <v>43602</v>
      </c>
      <c r="F63" s="4" t="n">
        <v>0.25</v>
      </c>
      <c r="G63" s="5" t="n">
        <v>18000</v>
      </c>
      <c r="H63" s="5" t="n">
        <v>14914</v>
      </c>
      <c r="I63" s="5">
        <f>G63-H63</f>
        <v/>
      </c>
      <c r="J63" s="5" t="n">
        <v>1388</v>
      </c>
    </row>
    <row r="64">
      <c r="A64" s="2" t="inlineStr">
        <is>
          <t>Altri beni: autovetture e mezzi di trasporto interni</t>
        </is>
      </c>
      <c r="B64" s="2" t="inlineStr">
        <is>
          <t>TNG-535</t>
        </is>
      </c>
      <c r="C64" s="2" t="inlineStr">
        <is>
          <t>Dotazioni e allestimenti delle autovetture aziendali (2022)</t>
        </is>
      </c>
      <c r="D64" s="2" t="inlineStr">
        <is>
          <t>Arredi Ufficio Piemonte S.r.l.</t>
        </is>
      </c>
      <c r="E64" s="3" t="n">
        <v>44736</v>
      </c>
      <c r="F64" s="4" t="n">
        <v>0.25</v>
      </c>
      <c r="G64" s="5" t="n">
        <v>1398</v>
      </c>
      <c r="H64" s="5" t="n">
        <v>342</v>
      </c>
      <c r="I64" s="5">
        <f>G64-H64</f>
        <v/>
      </c>
      <c r="J64" s="5" t="n">
        <v>108</v>
      </c>
    </row>
    <row r="65">
      <c r="A65" s="2" t="inlineStr">
        <is>
          <t>Altri beni: autovetture e mezzi di trasporto interni</t>
        </is>
      </c>
      <c r="B65" s="2" t="inlineStr">
        <is>
          <t>TNG-536</t>
        </is>
      </c>
      <c r="C65" s="2" t="inlineStr">
        <is>
          <t>Dotazioni e allestimenti delle autovetture aziendali (2023)</t>
        </is>
      </c>
      <c r="D65" s="2" t="inlineStr">
        <is>
          <t>Auto e Mobilità Torino S.p.A.</t>
        </is>
      </c>
      <c r="E65" s="3" t="n">
        <v>45101</v>
      </c>
      <c r="F65" s="4" t="n">
        <v>0.25</v>
      </c>
      <c r="G65" s="5" t="n">
        <v>1854</v>
      </c>
      <c r="H65" s="5" t="n">
        <v>340</v>
      </c>
      <c r="I65" s="5">
        <f>G65-H65</f>
        <v/>
      </c>
      <c r="J65" s="5" t="n">
        <v>143</v>
      </c>
    </row>
    <row r="66">
      <c r="A66" s="2" t="inlineStr">
        <is>
          <t>Altri beni: autovetture e mezzi di trasporto interni</t>
        </is>
      </c>
      <c r="B66" s="2" t="inlineStr">
        <is>
          <t>TNG-537</t>
        </is>
      </c>
      <c r="C66" s="2" t="inlineStr">
        <is>
          <t>Dotazioni e allestimenti delle autovetture aziendali (2024)</t>
        </is>
      </c>
      <c r="D66" s="2" t="inlineStr">
        <is>
          <t>Tecnoservizi Informatici S.r.l.</t>
        </is>
      </c>
      <c r="E66" s="3" t="n">
        <v>45467</v>
      </c>
      <c r="F66" s="4" t="n">
        <v>0.25</v>
      </c>
      <c r="G66" s="5" t="n">
        <v>2196</v>
      </c>
      <c r="H66" s="5" t="n">
        <v>250</v>
      </c>
      <c r="I66" s="5">
        <f>G66-H66</f>
        <v/>
      </c>
      <c r="J66" s="5" t="n">
        <v>169</v>
      </c>
    </row>
    <row r="67">
      <c r="A67" s="2" t="inlineStr">
        <is>
          <t>Altri beni: autovetture e mezzi di trasporto interni</t>
        </is>
      </c>
      <c r="B67" s="2" t="inlineStr">
        <is>
          <t>TNG-538</t>
        </is>
      </c>
      <c r="C67" s="2" t="inlineStr">
        <is>
          <t>Dotazioni e allestimenti delle autovetture aziendali (2025)</t>
        </is>
      </c>
      <c r="D67" s="2" t="inlineStr">
        <is>
          <t>Tecnoservizi Informatici S.r.l.</t>
        </is>
      </c>
      <c r="E67" s="3" t="n">
        <v>45832</v>
      </c>
      <c r="F67" s="4" t="n">
        <v>0.25</v>
      </c>
      <c r="G67" s="5" t="n">
        <v>2442</v>
      </c>
      <c r="H67" s="5" t="n">
        <v>94</v>
      </c>
      <c r="I67" s="5">
        <f>G67-H67</f>
        <v/>
      </c>
      <c r="J67" s="5" t="n">
        <v>94</v>
      </c>
    </row>
    <row r="68">
      <c r="A68" s="6" t="inlineStr">
        <is>
          <t>Totale immobilizzazioni (immateriali e materiali)</t>
        </is>
      </c>
      <c r="B68" s="7" t="n"/>
      <c r="C68" s="7" t="n"/>
      <c r="D68" s="7" t="n"/>
      <c r="E68" s="7" t="n"/>
      <c r="F68" s="7" t="n"/>
      <c r="G68" s="8">
        <f>SUM(G2:G67)</f>
        <v/>
      </c>
      <c r="H68" s="8">
        <f>SUM(H2:H67)</f>
        <v/>
      </c>
      <c r="I68" s="8">
        <f>SUM(I2:I67)</f>
        <v/>
      </c>
      <c r="J68" s="8">
        <f>SUM(J2:J67)</f>
        <v/>
      </c>
    </row>
  </sheetData>
  <autoFilter ref="A1:J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Classe</t>
        </is>
      </c>
      <c r="B1" s="1" t="inlineStr">
        <is>
          <t>Bene</t>
        </is>
      </c>
      <c r="C1" s="1" t="inlineStr">
        <is>
          <t>Acquisto</t>
        </is>
      </c>
      <c r="D1" s="1" t="inlineStr">
        <is>
          <t>Aliquota</t>
        </is>
      </c>
      <c r="E1" s="1" t="inlineStr">
        <is>
          <t>Costo 1/1</t>
        </is>
      </c>
      <c r="F1" s="1" t="inlineStr">
        <is>
          <t>Incrementi</t>
        </is>
      </c>
      <c r="G1" s="1" t="inlineStr">
        <is>
          <t>Costo 31/12</t>
        </is>
      </c>
      <c r="H1" s="1" t="inlineStr">
        <is>
          <t>Fondo 1/1</t>
        </is>
      </c>
      <c r="I1" s="1" t="inlineStr">
        <is>
          <t>Ammortamento</t>
        </is>
      </c>
      <c r="J1" s="1" t="inlineStr">
        <is>
          <t>Fondo 31/12</t>
        </is>
      </c>
      <c r="K1" s="1" t="inlineStr">
        <is>
          <t>Valore netto</t>
        </is>
      </c>
    </row>
    <row r="2">
      <c r="A2" s="2" t="inlineStr">
        <is>
          <t>Costi di sviluppo</t>
        </is>
      </c>
      <c r="B2" s="2" t="inlineStr">
        <is>
          <t>Piattaforma Atlas: motore di stima (versione 1)</t>
        </is>
      </c>
      <c r="C2" s="3" t="n">
        <v>43456</v>
      </c>
      <c r="D2" s="4" t="n">
        <v>0.2</v>
      </c>
      <c r="E2" s="5" t="n">
        <v>29400</v>
      </c>
      <c r="F2" s="5" t="n">
        <v>0</v>
      </c>
      <c r="G2" s="5" t="n">
        <v>29400</v>
      </c>
      <c r="H2" s="5" t="n">
        <v>23564</v>
      </c>
      <c r="I2" s="5" t="n">
        <v>2374</v>
      </c>
      <c r="J2" s="5" t="n">
        <v>25938</v>
      </c>
      <c r="K2" s="5" t="n">
        <v>3462</v>
      </c>
    </row>
    <row r="3">
      <c r="A3" s="2" t="inlineStr">
        <is>
          <t>Costi di sviluppo</t>
        </is>
      </c>
      <c r="B3" s="2" t="inlineStr">
        <is>
          <t>Piattaforma Atlas: modulo di acquisizione dei documenti</t>
        </is>
      </c>
      <c r="C3" s="3" t="n">
        <v>43821</v>
      </c>
      <c r="D3" s="4" t="n">
        <v>0.2</v>
      </c>
      <c r="E3" s="5" t="n">
        <v>29400</v>
      </c>
      <c r="F3" s="5" t="n">
        <v>0</v>
      </c>
      <c r="G3" s="5" t="n">
        <v>29400</v>
      </c>
      <c r="H3" s="5" t="n">
        <v>17673</v>
      </c>
      <c r="I3" s="5" t="n">
        <v>2374</v>
      </c>
      <c r="J3" s="5" t="n">
        <v>20047</v>
      </c>
      <c r="K3" s="5" t="n">
        <v>9353</v>
      </c>
    </row>
    <row r="4">
      <c r="A4" s="2" t="inlineStr">
        <is>
          <t>Costi di sviluppo</t>
        </is>
      </c>
      <c r="B4" s="2" t="inlineStr">
        <is>
          <t>Piattaforma Atlas: archivio delle regole dei bandi</t>
        </is>
      </c>
      <c r="C4" s="3" t="n">
        <v>44187</v>
      </c>
      <c r="D4" s="4" t="n">
        <v>0.2</v>
      </c>
      <c r="E4" s="5" t="n">
        <v>24500</v>
      </c>
      <c r="F4" s="5" t="n">
        <v>0</v>
      </c>
      <c r="G4" s="5" t="n">
        <v>24500</v>
      </c>
      <c r="H4" s="5" t="n">
        <v>9818</v>
      </c>
      <c r="I4" s="5" t="n">
        <v>1979</v>
      </c>
      <c r="J4" s="5" t="n">
        <v>11797</v>
      </c>
      <c r="K4" s="5" t="n">
        <v>12703</v>
      </c>
    </row>
    <row r="5">
      <c r="A5" s="2" t="inlineStr">
        <is>
          <t>Costi di sviluppo</t>
        </is>
      </c>
      <c r="B5" s="2" t="inlineStr">
        <is>
          <t>Piattaforma Atlas: interfaccia web e reportistica</t>
        </is>
      </c>
      <c r="C5" s="3" t="n">
        <v>44552</v>
      </c>
      <c r="D5" s="4" t="n">
        <v>0.2</v>
      </c>
      <c r="E5" s="5" t="n">
        <v>14700</v>
      </c>
      <c r="F5" s="5" t="n">
        <v>0</v>
      </c>
      <c r="G5" s="5" t="n">
        <v>14700</v>
      </c>
      <c r="H5" s="5" t="n">
        <v>2945</v>
      </c>
      <c r="I5" s="5" t="n">
        <v>1187</v>
      </c>
      <c r="J5" s="5" t="n">
        <v>4132</v>
      </c>
      <c r="K5" s="5" t="n">
        <v>10568</v>
      </c>
    </row>
    <row r="6">
      <c r="A6" s="2" t="inlineStr">
        <is>
          <t>Costi di sviluppo</t>
        </is>
      </c>
      <c r="B6" s="2" t="inlineStr">
        <is>
          <t>Piattaforma Atlas: miglioramento del motore di stima</t>
        </is>
      </c>
      <c r="C6" s="3" t="n">
        <v>44917</v>
      </c>
      <c r="D6" s="4" t="n">
        <v>0.2</v>
      </c>
      <c r="E6" s="5" t="n">
        <v>0</v>
      </c>
      <c r="F6" s="5" t="n">
        <v>10296</v>
      </c>
      <c r="G6" s="5" t="n">
        <v>10296</v>
      </c>
      <c r="H6" s="5" t="n">
        <v>0</v>
      </c>
      <c r="I6" s="5" t="n">
        <v>416</v>
      </c>
      <c r="J6" s="5" t="n">
        <v>416</v>
      </c>
      <c r="K6" s="5" t="n">
        <v>9880</v>
      </c>
    </row>
    <row r="7">
      <c r="A7" s="2" t="inlineStr">
        <is>
          <t>Diritti di utilizzazione di opere dell'ingegno (software applicativo)</t>
        </is>
      </c>
      <c r="B7" s="2" t="inlineStr">
        <is>
          <t>Licenza perpetua ambiente di modellazione UML e CAD</t>
        </is>
      </c>
      <c r="C7" s="3" t="n">
        <v>42819</v>
      </c>
      <c r="D7" s="4" t="n">
        <v>0.33</v>
      </c>
      <c r="E7" s="5" t="n">
        <v>7700</v>
      </c>
      <c r="F7" s="5" t="n">
        <v>0</v>
      </c>
      <c r="G7" s="5" t="n">
        <v>7700</v>
      </c>
      <c r="H7" s="5" t="n">
        <v>5404</v>
      </c>
      <c r="I7" s="5" t="n">
        <v>787</v>
      </c>
      <c r="J7" s="5" t="n">
        <v>6191</v>
      </c>
      <c r="K7" s="5" t="n">
        <v>1509</v>
      </c>
    </row>
    <row r="8">
      <c r="A8" s="2" t="inlineStr">
        <is>
          <t>Diritti di utilizzazione di opere dell'ingegno (software applicativo)</t>
        </is>
      </c>
      <c r="B8" s="2" t="inlineStr">
        <is>
          <t>Software di gestione progetti e ticketing (licenza perpetua)</t>
        </is>
      </c>
      <c r="C8" s="3" t="n">
        <v>43275</v>
      </c>
      <c r="D8" s="4" t="n">
        <v>0.33</v>
      </c>
      <c r="E8" s="5" t="n">
        <v>8800</v>
      </c>
      <c r="F8" s="5" t="n">
        <v>0</v>
      </c>
      <c r="G8" s="5" t="n">
        <v>8800</v>
      </c>
      <c r="H8" s="5" t="n">
        <v>6176</v>
      </c>
      <c r="I8" s="5" t="n">
        <v>899</v>
      </c>
      <c r="J8" s="5" t="n">
        <v>7075</v>
      </c>
      <c r="K8" s="5" t="n">
        <v>1725</v>
      </c>
    </row>
    <row r="9">
      <c r="A9" s="2" t="inlineStr">
        <is>
          <t>Diritti di utilizzazione di opere dell'ingegno (software applicativo)</t>
        </is>
      </c>
      <c r="B9" s="2" t="inlineStr">
        <is>
          <t>Software di business intelligence (licenza perpetua)</t>
        </is>
      </c>
      <c r="C9" s="3" t="n">
        <v>44097</v>
      </c>
      <c r="D9" s="4" t="n">
        <v>0.33</v>
      </c>
      <c r="E9" s="5" t="n">
        <v>5500</v>
      </c>
      <c r="F9" s="5" t="n">
        <v>0</v>
      </c>
      <c r="G9" s="5" t="n">
        <v>5500</v>
      </c>
      <c r="H9" s="5" t="n">
        <v>2420</v>
      </c>
      <c r="I9" s="5" t="n">
        <v>562</v>
      </c>
      <c r="J9" s="5" t="n">
        <v>2982</v>
      </c>
      <c r="K9" s="5" t="n">
        <v>2518</v>
      </c>
    </row>
    <row r="10">
      <c r="A10" s="2" t="inlineStr">
        <is>
          <t>Diritti di utilizzazione di opere dell'ingegno (software applicativo)</t>
        </is>
      </c>
      <c r="B10" s="2" t="inlineStr">
        <is>
          <t>Software di contabilità e gestione paghe (licenza)</t>
        </is>
      </c>
      <c r="C10" s="3" t="n">
        <v>44610</v>
      </c>
      <c r="D10" s="4" t="n">
        <v>0.33</v>
      </c>
      <c r="E10" s="5" t="n">
        <v>0</v>
      </c>
      <c r="F10" s="5" t="n">
        <v>2574</v>
      </c>
      <c r="G10" s="5" t="n">
        <v>2574</v>
      </c>
      <c r="H10" s="5" t="n">
        <v>0</v>
      </c>
      <c r="I10" s="5" t="n">
        <v>132</v>
      </c>
      <c r="J10" s="5" t="n">
        <v>132</v>
      </c>
      <c r="K10" s="5" t="n">
        <v>2442</v>
      </c>
    </row>
    <row r="11">
      <c r="A11" s="2" t="inlineStr">
        <is>
          <t>Concessioni, licenze, marchi e diritti simili</t>
        </is>
      </c>
      <c r="B11" s="2" t="inlineStr">
        <is>
          <t>Marchio denominativo ATLAS: registrazione presso l'UIBM</t>
        </is>
      </c>
      <c r="C11" s="3" t="n">
        <v>43565</v>
      </c>
      <c r="D11" s="4" t="n">
        <v>0.2</v>
      </c>
      <c r="E11" s="5" t="n">
        <v>3100</v>
      </c>
      <c r="F11" s="5" t="n">
        <v>0</v>
      </c>
      <c r="G11" s="5" t="n">
        <v>3100</v>
      </c>
      <c r="H11" s="5" t="n">
        <v>2160</v>
      </c>
      <c r="I11" s="5" t="n">
        <v>228</v>
      </c>
      <c r="J11" s="5" t="n">
        <v>2388</v>
      </c>
      <c r="K11" s="5" t="n">
        <v>712</v>
      </c>
    </row>
    <row r="12">
      <c r="A12" s="2" t="inlineStr">
        <is>
          <t>Concessioni, licenze, marchi e diritti simili</t>
        </is>
      </c>
      <c r="B12" s="2" t="inlineStr">
        <is>
          <t>Marchio figurativo Meridiana: registrazione e rinnovo</t>
        </is>
      </c>
      <c r="C12" s="3" t="n">
        <v>44006</v>
      </c>
      <c r="D12" s="4" t="n">
        <v>0.2</v>
      </c>
      <c r="E12" s="5" t="n">
        <v>3100</v>
      </c>
      <c r="F12" s="5" t="n">
        <v>0</v>
      </c>
      <c r="G12" s="5" t="n">
        <v>3100</v>
      </c>
      <c r="H12" s="5" t="n">
        <v>1440</v>
      </c>
      <c r="I12" s="5" t="n">
        <v>227</v>
      </c>
      <c r="J12" s="5" t="n">
        <v>1667</v>
      </c>
      <c r="K12" s="5" t="n">
        <v>1433</v>
      </c>
    </row>
    <row r="13">
      <c r="A13" s="2" t="inlineStr">
        <is>
          <t>Concessioni, licenze, marchi e diritti simili</t>
        </is>
      </c>
      <c r="B13" s="2" t="inlineStr">
        <is>
          <t>Certificazione ISO 9001: costi di prima certificazione</t>
        </is>
      </c>
      <c r="C13" s="3" t="n">
        <v>44842</v>
      </c>
      <c r="D13" s="4" t="n">
        <v>0.2</v>
      </c>
      <c r="E13" s="5" t="n">
        <v>0</v>
      </c>
      <c r="F13" s="5" t="n">
        <v>572</v>
      </c>
      <c r="G13" s="5" t="n">
        <v>572</v>
      </c>
      <c r="H13" s="5" t="n">
        <v>0</v>
      </c>
      <c r="I13" s="5" t="n">
        <v>21</v>
      </c>
      <c r="J13" s="5" t="n">
        <v>21</v>
      </c>
      <c r="K13" s="5" t="n">
        <v>551</v>
      </c>
    </row>
    <row r="14">
      <c r="A14" s="2" t="inlineStr">
        <is>
          <t>Altre immobilizzazioni immateriali (migliorie su beni di terzi)</t>
        </is>
      </c>
      <c r="B14" s="2" t="inlineStr">
        <is>
          <t>Migliorie su beni di terzi: sede legale di via Garibaldi (pareti e impianti)</t>
        </is>
      </c>
      <c r="C14" s="3" t="n">
        <v>42454</v>
      </c>
      <c r="D14" s="4" t="n">
        <v>0.2</v>
      </c>
      <c r="E14" s="5" t="n">
        <v>4500</v>
      </c>
      <c r="F14" s="5" t="n">
        <v>0</v>
      </c>
      <c r="G14" s="5" t="n">
        <v>4500</v>
      </c>
      <c r="H14" s="5" t="n">
        <v>4365</v>
      </c>
      <c r="I14" s="5" t="n">
        <v>135</v>
      </c>
      <c r="J14" s="5" t="n">
        <v>4500</v>
      </c>
      <c r="K14" s="5" t="n">
        <v>0</v>
      </c>
    </row>
    <row r="15">
      <c r="A15" s="2" t="inlineStr">
        <is>
          <t>Altre immobilizzazioni immateriali (migliorie su beni di terzi)</t>
        </is>
      </c>
      <c r="B15" s="2" t="inlineStr">
        <is>
          <t>Migliorie su beni di terzi: sala server e cablaggio dedicato</t>
        </is>
      </c>
      <c r="C15" s="3" t="n">
        <v>43655</v>
      </c>
      <c r="D15" s="4" t="n">
        <v>0.2</v>
      </c>
      <c r="E15" s="5" t="n">
        <v>3000</v>
      </c>
      <c r="F15" s="5" t="n">
        <v>0</v>
      </c>
      <c r="G15" s="5" t="n">
        <v>3000</v>
      </c>
      <c r="H15" s="5" t="n">
        <v>1983</v>
      </c>
      <c r="I15" s="5" t="n">
        <v>159</v>
      </c>
      <c r="J15" s="5" t="n">
        <v>2142</v>
      </c>
      <c r="K15" s="5" t="n">
        <v>858</v>
      </c>
    </row>
    <row r="16">
      <c r="A16" s="2" t="inlineStr">
        <is>
          <t>Altre immobilizzazioni immateriali (migliorie su beni di terzi)</t>
        </is>
      </c>
      <c r="B16" s="2" t="inlineStr">
        <is>
          <t>Migliorie su beni di terzi: unità locale di corso Francia (laboratorio dati)</t>
        </is>
      </c>
      <c r="C16" s="3" t="n">
        <v>44462</v>
      </c>
      <c r="D16" s="4" t="n">
        <v>0.2</v>
      </c>
      <c r="E16" s="5" t="n">
        <v>7500</v>
      </c>
      <c r="F16" s="5" t="n">
        <v>0</v>
      </c>
      <c r="G16" s="5" t="n">
        <v>7500</v>
      </c>
      <c r="H16" s="5" t="n">
        <v>1652</v>
      </c>
      <c r="I16" s="5" t="n">
        <v>397</v>
      </c>
      <c r="J16" s="5" t="n">
        <v>2049</v>
      </c>
      <c r="K16" s="5" t="n">
        <v>5451</v>
      </c>
    </row>
    <row r="17">
      <c r="A17" s="2" t="inlineStr">
        <is>
          <t>Altre immobilizzazioni immateriali (migliorie su beni di terzi)</t>
        </is>
      </c>
      <c r="B17" s="2" t="inlineStr">
        <is>
          <t>Migliorie su beni di terzi: ampliamento sala riunioni</t>
        </is>
      </c>
      <c r="C17" s="3" t="n">
        <v>44736</v>
      </c>
      <c r="D17" s="4" t="n">
        <v>0.2</v>
      </c>
      <c r="E17" s="5" t="n">
        <v>0</v>
      </c>
      <c r="F17" s="5" t="n">
        <v>858</v>
      </c>
      <c r="G17" s="5" t="n">
        <v>858</v>
      </c>
      <c r="H17" s="5" t="n">
        <v>0</v>
      </c>
      <c r="I17" s="5" t="n">
        <v>23</v>
      </c>
      <c r="J17" s="5" t="n">
        <v>23</v>
      </c>
      <c r="K17" s="5" t="n">
        <v>835</v>
      </c>
    </row>
    <row r="18">
      <c r="A18" s="2" t="inlineStr">
        <is>
          <t>Impianti e macchinario (impianti di rete e cablaggio)</t>
        </is>
      </c>
      <c r="B18" s="2" t="inlineStr">
        <is>
          <t>Cablaggio strutturato degli uffici di via Garibaldi</t>
        </is>
      </c>
      <c r="C18" s="3" t="n">
        <v>42835</v>
      </c>
      <c r="D18" s="4" t="n">
        <v>0.15</v>
      </c>
      <c r="E18" s="5" t="n">
        <v>9800</v>
      </c>
      <c r="F18" s="5" t="n">
        <v>0</v>
      </c>
      <c r="G18" s="5" t="n">
        <v>9800</v>
      </c>
      <c r="H18" s="5" t="n">
        <v>7750</v>
      </c>
      <c r="I18" s="5" t="n">
        <v>771</v>
      </c>
      <c r="J18" s="5" t="n">
        <v>8521</v>
      </c>
      <c r="K18" s="5" t="n">
        <v>1279</v>
      </c>
    </row>
    <row r="19">
      <c r="A19" s="2" t="inlineStr">
        <is>
          <t>Impianti e macchinario (impianti di rete e cablaggio)</t>
        </is>
      </c>
      <c r="B19" s="2" t="inlineStr">
        <is>
          <t>Impianto di condizionamento della sede</t>
        </is>
      </c>
      <c r="C19" s="3" t="n">
        <v>43275</v>
      </c>
      <c r="D19" s="4" t="n">
        <v>0.15</v>
      </c>
      <c r="E19" s="5" t="n">
        <v>8400</v>
      </c>
      <c r="F19" s="5" t="n">
        <v>0</v>
      </c>
      <c r="G19" s="5" t="n">
        <v>8400</v>
      </c>
      <c r="H19" s="5" t="n">
        <v>5314</v>
      </c>
      <c r="I19" s="5" t="n">
        <v>661</v>
      </c>
      <c r="J19" s="5" t="n">
        <v>5975</v>
      </c>
      <c r="K19" s="5" t="n">
        <v>2425</v>
      </c>
    </row>
    <row r="20">
      <c r="A20" s="2" t="inlineStr">
        <is>
          <t>Impianti e macchinario (impianti di rete e cablaggio)</t>
        </is>
      </c>
      <c r="B20" s="2" t="inlineStr">
        <is>
          <t>Impianto di videosorveglianza e controllo accessi</t>
        </is>
      </c>
      <c r="C20" s="3" t="n">
        <v>44112</v>
      </c>
      <c r="D20" s="4" t="n">
        <v>0.15</v>
      </c>
      <c r="E20" s="5" t="n">
        <v>5600</v>
      </c>
      <c r="F20" s="5" t="n">
        <v>0</v>
      </c>
      <c r="G20" s="5" t="n">
        <v>5600</v>
      </c>
      <c r="H20" s="5" t="n">
        <v>1772</v>
      </c>
      <c r="I20" s="5" t="n">
        <v>441</v>
      </c>
      <c r="J20" s="5" t="n">
        <v>2213</v>
      </c>
      <c r="K20" s="5" t="n">
        <v>3387</v>
      </c>
    </row>
    <row r="21">
      <c r="A21" s="2" t="inlineStr">
        <is>
          <t>Impianti e macchinario (impianti di rete e cablaggio)</t>
        </is>
      </c>
      <c r="B21" s="2" t="inlineStr">
        <is>
          <t>Impianto elettrico di continuità (UPS) della sala server</t>
        </is>
      </c>
      <c r="C21" s="3" t="n">
        <v>44280</v>
      </c>
      <c r="D21" s="4" t="n">
        <v>0.15</v>
      </c>
      <c r="E21" s="5" t="n">
        <v>4200</v>
      </c>
      <c r="F21" s="5" t="n">
        <v>0</v>
      </c>
      <c r="G21" s="5" t="n">
        <v>4200</v>
      </c>
      <c r="H21" s="5" t="n">
        <v>664</v>
      </c>
      <c r="I21" s="5" t="n">
        <v>331</v>
      </c>
      <c r="J21" s="5" t="n">
        <v>995</v>
      </c>
      <c r="K21" s="5" t="n">
        <v>3205</v>
      </c>
    </row>
    <row r="22">
      <c r="A22" s="2" t="inlineStr">
        <is>
          <t>Impianti e macchinario (impianti di rete e cablaggio)</t>
        </is>
      </c>
      <c r="B22" s="2" t="inlineStr">
        <is>
          <t>Impianto di rete wireless degli uffici</t>
        </is>
      </c>
      <c r="C22" s="3" t="n">
        <v>44698</v>
      </c>
      <c r="D22" s="4" t="n">
        <v>0.15</v>
      </c>
      <c r="E22" s="5" t="n">
        <v>0</v>
      </c>
      <c r="F22" s="5" t="n">
        <v>2796</v>
      </c>
      <c r="G22" s="5" t="n">
        <v>2796</v>
      </c>
      <c r="H22" s="5" t="n">
        <v>0</v>
      </c>
      <c r="I22" s="5" t="n">
        <v>110</v>
      </c>
      <c r="J22" s="5" t="n">
        <v>110</v>
      </c>
      <c r="K22" s="5" t="n">
        <v>2686</v>
      </c>
    </row>
    <row r="23">
      <c r="A23" s="2" t="inlineStr">
        <is>
          <t>Attrezzature industriali e commerciali (server e apparati di test)</t>
        </is>
      </c>
      <c r="B23" s="2" t="inlineStr">
        <is>
          <t>Server di produzione (cluster di tre nodi)</t>
        </is>
      </c>
      <c r="C23" s="3" t="n">
        <v>43237</v>
      </c>
      <c r="D23" s="4" t="n">
        <v>0.2</v>
      </c>
      <c r="E23" s="5" t="n">
        <v>18300</v>
      </c>
      <c r="F23" s="5" t="n">
        <v>0</v>
      </c>
      <c r="G23" s="5" t="n">
        <v>18300</v>
      </c>
      <c r="H23" s="5" t="n">
        <v>17280</v>
      </c>
      <c r="I23" s="5" t="n">
        <v>1020</v>
      </c>
      <c r="J23" s="5" t="n">
        <v>18300</v>
      </c>
      <c r="K23" s="5" t="n">
        <v>0</v>
      </c>
    </row>
    <row r="24">
      <c r="A24" s="2" t="inlineStr">
        <is>
          <t>Attrezzature industriali e commerciali (server e apparati di test)</t>
        </is>
      </c>
      <c r="B24" s="2" t="inlineStr">
        <is>
          <t>Server di test e integrazione</t>
        </is>
      </c>
      <c r="C24" s="3" t="n">
        <v>43731</v>
      </c>
      <c r="D24" s="4" t="n">
        <v>0.2</v>
      </c>
      <c r="E24" s="5" t="n">
        <v>12200</v>
      </c>
      <c r="F24" s="5" t="n">
        <v>0</v>
      </c>
      <c r="G24" s="5" t="n">
        <v>12200</v>
      </c>
      <c r="H24" s="5" t="n">
        <v>8640</v>
      </c>
      <c r="I24" s="5" t="n">
        <v>1010</v>
      </c>
      <c r="J24" s="5" t="n">
        <v>9650</v>
      </c>
      <c r="K24" s="5" t="n">
        <v>2550</v>
      </c>
    </row>
    <row r="25">
      <c r="A25" s="2" t="inlineStr">
        <is>
          <t>Attrezzature industriali e commerciali (server e apparati di test)</t>
        </is>
      </c>
      <c r="B25" s="2" t="inlineStr">
        <is>
          <t>Apparati di rete e firewall di perimetro</t>
        </is>
      </c>
      <c r="C25" s="3" t="n">
        <v>43879</v>
      </c>
      <c r="D25" s="4" t="n">
        <v>0.2</v>
      </c>
      <c r="E25" s="5" t="n">
        <v>12200</v>
      </c>
      <c r="F25" s="5" t="n">
        <v>0</v>
      </c>
      <c r="G25" s="5" t="n">
        <v>12200</v>
      </c>
      <c r="H25" s="5" t="n">
        <v>5760</v>
      </c>
      <c r="I25" s="5" t="n">
        <v>1010</v>
      </c>
      <c r="J25" s="5" t="n">
        <v>6770</v>
      </c>
      <c r="K25" s="5" t="n">
        <v>5430</v>
      </c>
    </row>
    <row r="26">
      <c r="A26" s="2" t="inlineStr">
        <is>
          <t>Attrezzature industriali e commerciali (server e apparati di test)</t>
        </is>
      </c>
      <c r="B26" s="2" t="inlineStr">
        <is>
          <t>Sistema di storage e backup</t>
        </is>
      </c>
      <c r="C26" s="3" t="n">
        <v>44515</v>
      </c>
      <c r="D26" s="4" t="n">
        <v>0.2</v>
      </c>
      <c r="E26" s="5" t="n">
        <v>18300</v>
      </c>
      <c r="F26" s="5" t="n">
        <v>0</v>
      </c>
      <c r="G26" s="5" t="n">
        <v>18300</v>
      </c>
      <c r="H26" s="5" t="n">
        <v>4320</v>
      </c>
      <c r="I26" s="5" t="n">
        <v>1515</v>
      </c>
      <c r="J26" s="5" t="n">
        <v>5835</v>
      </c>
      <c r="K26" s="5" t="n">
        <v>12465</v>
      </c>
    </row>
    <row r="27">
      <c r="A27" s="2" t="inlineStr">
        <is>
          <t>Attrezzature industriali e commerciali (server e apparati di test)</t>
        </is>
      </c>
      <c r="B27" s="2" t="inlineStr">
        <is>
          <t>Parco dispositivi di test mobile (smartphone e tablet)</t>
        </is>
      </c>
      <c r="C27" s="3" t="n">
        <v>44645</v>
      </c>
      <c r="D27" s="4" t="n">
        <v>0.2</v>
      </c>
      <c r="E27" s="5" t="n">
        <v>0</v>
      </c>
      <c r="F27" s="5" t="n">
        <v>6058</v>
      </c>
      <c r="G27" s="5" t="n">
        <v>6058</v>
      </c>
      <c r="H27" s="5" t="n">
        <v>0</v>
      </c>
      <c r="I27" s="5" t="n">
        <v>251</v>
      </c>
      <c r="J27" s="5" t="n">
        <v>251</v>
      </c>
      <c r="K27" s="5" t="n">
        <v>5807</v>
      </c>
    </row>
    <row r="28">
      <c r="A28" s="2" t="inlineStr">
        <is>
          <t>Altri beni: macchine d'ufficio elettroniche</t>
        </is>
      </c>
      <c r="B28" s="2" t="inlineStr">
        <is>
          <t>Workstation di sviluppo (primo lotto)</t>
        </is>
      </c>
      <c r="C28" s="3" t="n">
        <v>42872</v>
      </c>
      <c r="D28" s="4" t="n">
        <v>0.2</v>
      </c>
      <c r="E28" s="5" t="n">
        <v>16800</v>
      </c>
      <c r="F28" s="5" t="n">
        <v>0</v>
      </c>
      <c r="G28" s="5" t="n">
        <v>16800</v>
      </c>
      <c r="H28" s="5" t="n">
        <v>16296</v>
      </c>
      <c r="I28" s="5" t="n">
        <v>504</v>
      </c>
      <c r="J28" s="5" t="n">
        <v>16800</v>
      </c>
      <c r="K28" s="5" t="n">
        <v>0</v>
      </c>
    </row>
    <row r="29">
      <c r="A29" s="2" t="inlineStr">
        <is>
          <t>Altri beni: macchine d'ufficio elettroniche</t>
        </is>
      </c>
      <c r="B29" s="2" t="inlineStr">
        <is>
          <t>Notebook di sviluppo (secondo lotto)</t>
        </is>
      </c>
      <c r="C29" s="3" t="n">
        <v>43549</v>
      </c>
      <c r="D29" s="4" t="n">
        <v>0.2</v>
      </c>
      <c r="E29" s="5" t="n">
        <v>25200</v>
      </c>
      <c r="F29" s="5" t="n">
        <v>0</v>
      </c>
      <c r="G29" s="5" t="n">
        <v>25200</v>
      </c>
      <c r="H29" s="5" t="n">
        <v>24444</v>
      </c>
      <c r="I29" s="5" t="n">
        <v>756</v>
      </c>
      <c r="J29" s="5" t="n">
        <v>25200</v>
      </c>
      <c r="K29" s="5" t="n">
        <v>0</v>
      </c>
    </row>
    <row r="30">
      <c r="A30" s="2" t="inlineStr">
        <is>
          <t>Altri beni: macchine d'ufficio elettroniche</t>
        </is>
      </c>
      <c r="B30" s="2" t="inlineStr">
        <is>
          <t>Monitor 27 pollici (lotto)</t>
        </is>
      </c>
      <c r="C30" s="3" t="n">
        <v>44097</v>
      </c>
      <c r="D30" s="4" t="n">
        <v>0.2</v>
      </c>
      <c r="E30" s="5" t="n">
        <v>12600</v>
      </c>
      <c r="F30" s="5" t="n">
        <v>0</v>
      </c>
      <c r="G30" s="5" t="n">
        <v>12600</v>
      </c>
      <c r="H30" s="5" t="n">
        <v>8890</v>
      </c>
      <c r="I30" s="5" t="n">
        <v>1662</v>
      </c>
      <c r="J30" s="5" t="n">
        <v>10552</v>
      </c>
      <c r="K30" s="5" t="n">
        <v>2048</v>
      </c>
    </row>
    <row r="31">
      <c r="A31" s="2" t="inlineStr">
        <is>
          <t>Altri beni: macchine d'ufficio elettroniche</t>
        </is>
      </c>
      <c r="B31" s="2" t="inlineStr">
        <is>
          <t>Stazione di lavoro grafica per la progettazione UX</t>
        </is>
      </c>
      <c r="C31" s="3" t="n">
        <v>44371</v>
      </c>
      <c r="D31" s="4" t="n">
        <v>0.2</v>
      </c>
      <c r="E31" s="5" t="n">
        <v>12600</v>
      </c>
      <c r="F31" s="5" t="n">
        <v>0</v>
      </c>
      <c r="G31" s="5" t="n">
        <v>12600</v>
      </c>
      <c r="H31" s="5" t="n">
        <v>4444</v>
      </c>
      <c r="I31" s="5" t="n">
        <v>1662</v>
      </c>
      <c r="J31" s="5" t="n">
        <v>6106</v>
      </c>
      <c r="K31" s="5" t="n">
        <v>6494</v>
      </c>
    </row>
    <row r="32">
      <c r="A32" s="2" t="inlineStr">
        <is>
          <t>Altri beni: macchine d'ufficio elettroniche</t>
        </is>
      </c>
      <c r="B32" s="2" t="inlineStr">
        <is>
          <t>Notebook di sviluppo (terzo lotto)</t>
        </is>
      </c>
      <c r="C32" s="3" t="n">
        <v>44477</v>
      </c>
      <c r="D32" s="4" t="n">
        <v>0.2</v>
      </c>
      <c r="E32" s="5" t="n">
        <v>16800</v>
      </c>
      <c r="F32" s="5" t="n">
        <v>0</v>
      </c>
      <c r="G32" s="5" t="n">
        <v>16800</v>
      </c>
      <c r="H32" s="5" t="n">
        <v>5926</v>
      </c>
      <c r="I32" s="5" t="n">
        <v>2216</v>
      </c>
      <c r="J32" s="5" t="n">
        <v>8142</v>
      </c>
      <c r="K32" s="5" t="n">
        <v>8658</v>
      </c>
    </row>
    <row r="33">
      <c r="A33" s="2" t="inlineStr">
        <is>
          <t>Altri beni: macchine d'ufficio elettroniche</t>
        </is>
      </c>
      <c r="B33" s="2" t="inlineStr">
        <is>
          <t>Workstation di sviluppo e notebook (lotto 2022)</t>
        </is>
      </c>
      <c r="C33" s="3" t="n">
        <v>44661</v>
      </c>
      <c r="D33" s="4" t="n">
        <v>0.2</v>
      </c>
      <c r="E33" s="5" t="n">
        <v>0</v>
      </c>
      <c r="F33" s="5" t="n">
        <v>10252</v>
      </c>
      <c r="G33" s="5" t="n">
        <v>10252</v>
      </c>
      <c r="H33" s="5" t="n">
        <v>0</v>
      </c>
      <c r="I33" s="5" t="n">
        <v>676</v>
      </c>
      <c r="J33" s="5" t="n">
        <v>676</v>
      </c>
      <c r="K33" s="5" t="n">
        <v>9576</v>
      </c>
    </row>
    <row r="34">
      <c r="A34" s="2" t="inlineStr">
        <is>
          <t>Altri beni: mobili e arredi</t>
        </is>
      </c>
      <c r="B34" s="2" t="inlineStr">
        <is>
          <t>Scrivanie operative (lotto iniziale)</t>
        </is>
      </c>
      <c r="C34" s="3" t="n">
        <v>42784</v>
      </c>
      <c r="D34" s="4" t="n">
        <v>0.12</v>
      </c>
      <c r="E34" s="5" t="n">
        <v>11025</v>
      </c>
      <c r="F34" s="5" t="n">
        <v>0</v>
      </c>
      <c r="G34" s="5" t="n">
        <v>11025</v>
      </c>
      <c r="H34" s="5" t="n">
        <v>6858</v>
      </c>
      <c r="I34" s="5" t="n">
        <v>716</v>
      </c>
      <c r="J34" s="5" t="n">
        <v>7574</v>
      </c>
      <c r="K34" s="5" t="n">
        <v>3451</v>
      </c>
    </row>
    <row r="35">
      <c r="A35" s="2" t="inlineStr">
        <is>
          <t>Altri beni: mobili e arredi</t>
        </is>
      </c>
      <c r="B35" s="2" t="inlineStr">
        <is>
          <t>Sedie ergonomiche (lotto iniziale)</t>
        </is>
      </c>
      <c r="C35" s="3" t="n">
        <v>42784</v>
      </c>
      <c r="D35" s="4" t="n">
        <v>0.12</v>
      </c>
      <c r="E35" s="5" t="n">
        <v>6300</v>
      </c>
      <c r="F35" s="5" t="n">
        <v>0</v>
      </c>
      <c r="G35" s="5" t="n">
        <v>6300</v>
      </c>
      <c r="H35" s="5" t="n">
        <v>3919</v>
      </c>
      <c r="I35" s="5" t="n">
        <v>409</v>
      </c>
      <c r="J35" s="5" t="n">
        <v>4328</v>
      </c>
      <c r="K35" s="5" t="n">
        <v>1972</v>
      </c>
    </row>
    <row r="36">
      <c r="A36" s="2" t="inlineStr">
        <is>
          <t>Altri beni: mobili e arredi</t>
        </is>
      </c>
      <c r="B36" s="2" t="inlineStr">
        <is>
          <t>Armadi e arredi della sala riunioni</t>
        </is>
      </c>
      <c r="C36" s="3" t="n">
        <v>43784</v>
      </c>
      <c r="D36" s="4" t="n">
        <v>0.12</v>
      </c>
      <c r="E36" s="5" t="n">
        <v>7875</v>
      </c>
      <c r="F36" s="5" t="n">
        <v>0</v>
      </c>
      <c r="G36" s="5" t="n">
        <v>7875</v>
      </c>
      <c r="H36" s="5" t="n">
        <v>2939</v>
      </c>
      <c r="I36" s="5" t="n">
        <v>511</v>
      </c>
      <c r="J36" s="5" t="n">
        <v>3450</v>
      </c>
      <c r="K36" s="5" t="n">
        <v>4425</v>
      </c>
    </row>
    <row r="37">
      <c r="A37" s="2" t="inlineStr">
        <is>
          <t>Altri beni: mobili e arredi</t>
        </is>
      </c>
      <c r="B37" s="2" t="inlineStr">
        <is>
          <t>Arredi del laboratorio dati di corso Francia</t>
        </is>
      </c>
      <c r="C37" s="3" t="n">
        <v>44462</v>
      </c>
      <c r="D37" s="4" t="n">
        <v>0.12</v>
      </c>
      <c r="E37" s="5" t="n">
        <v>6300</v>
      </c>
      <c r="F37" s="5" t="n">
        <v>0</v>
      </c>
      <c r="G37" s="5" t="n">
        <v>6300</v>
      </c>
      <c r="H37" s="5" t="n">
        <v>784</v>
      </c>
      <c r="I37" s="5" t="n">
        <v>409</v>
      </c>
      <c r="J37" s="5" t="n">
        <v>1193</v>
      </c>
      <c r="K37" s="5" t="n">
        <v>5107</v>
      </c>
    </row>
    <row r="38">
      <c r="A38" s="2" t="inlineStr">
        <is>
          <t>Altri beni: mobili e arredi</t>
        </is>
      </c>
      <c r="B38" s="2" t="inlineStr">
        <is>
          <t>Scrivanie e sedie per l'ampliamento dell'organico (2022)</t>
        </is>
      </c>
      <c r="C38" s="3" t="n">
        <v>44698</v>
      </c>
      <c r="D38" s="4" t="n">
        <v>0.12</v>
      </c>
      <c r="E38" s="5" t="n">
        <v>0</v>
      </c>
      <c r="F38" s="5" t="n">
        <v>2796</v>
      </c>
      <c r="G38" s="5" t="n">
        <v>2796</v>
      </c>
      <c r="H38" s="5" t="n">
        <v>0</v>
      </c>
      <c r="I38" s="5" t="n">
        <v>91</v>
      </c>
      <c r="J38" s="5" t="n">
        <v>91</v>
      </c>
      <c r="K38" s="5" t="n">
        <v>2705</v>
      </c>
    </row>
    <row r="39">
      <c r="A39" s="2" t="inlineStr">
        <is>
          <t>Altri beni: autovetture e mezzi di trasporto interni</t>
        </is>
      </c>
      <c r="B39" s="2" t="inlineStr">
        <is>
          <t>Autovettura aziendale ibrida di proprietà</t>
        </is>
      </c>
      <c r="C39" s="3" t="n">
        <v>43602</v>
      </c>
      <c r="D39" s="4" t="n">
        <v>0.25</v>
      </c>
      <c r="E39" s="5" t="n">
        <v>18000</v>
      </c>
      <c r="F39" s="5" t="n">
        <v>0</v>
      </c>
      <c r="G39" s="5" t="n">
        <v>18000</v>
      </c>
      <c r="H39" s="5" t="n">
        <v>10000</v>
      </c>
      <c r="I39" s="5" t="n">
        <v>1028</v>
      </c>
      <c r="J39" s="5" t="n">
        <v>11028</v>
      </c>
      <c r="K39" s="5" t="n">
        <v>6972</v>
      </c>
    </row>
    <row r="40">
      <c r="A40" s="2" t="inlineStr">
        <is>
          <t>Altri beni: autovetture e mezzi di trasporto interni</t>
        </is>
      </c>
      <c r="B40" s="2" t="inlineStr">
        <is>
          <t>Dotazioni e allestimenti delle autovetture aziendali (2022)</t>
        </is>
      </c>
      <c r="C40" s="3" t="n">
        <v>44736</v>
      </c>
      <c r="D40" s="4" t="n">
        <v>0.25</v>
      </c>
      <c r="E40" s="5" t="n">
        <v>0</v>
      </c>
      <c r="F40" s="5" t="n">
        <v>1398</v>
      </c>
      <c r="G40" s="5" t="n">
        <v>1398</v>
      </c>
      <c r="H40" s="5" t="n">
        <v>0</v>
      </c>
      <c r="I40" s="5" t="n">
        <v>40</v>
      </c>
      <c r="J40" s="5" t="n">
        <v>40</v>
      </c>
      <c r="K40" s="5" t="n">
        <v>1358</v>
      </c>
    </row>
    <row r="41">
      <c r="A41" s="6" t="inlineStr">
        <is>
          <t>Totale</t>
        </is>
      </c>
      <c r="B41" s="7" t="n"/>
      <c r="C41" s="7" t="n"/>
      <c r="D41" s="7" t="n"/>
      <c r="E41" s="8">
        <f>SUM(E2:E40)</f>
        <v/>
      </c>
      <c r="F41" s="8">
        <f>SUM(F2:F40)</f>
        <v/>
      </c>
      <c r="G41" s="8">
        <f>SUM(G2:G40)</f>
        <v/>
      </c>
      <c r="H41" s="8">
        <f>SUM(H2:H40)</f>
        <v/>
      </c>
      <c r="I41" s="8">
        <f>SUM(I2:I40)</f>
        <v/>
      </c>
      <c r="J41" s="8">
        <f>SUM(J2:J40)</f>
        <v/>
      </c>
      <c r="K41" s="8">
        <f>SUM(K2:K40)</f>
        <v/>
      </c>
    </row>
  </sheetData>
  <autoFilter ref="A1:K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Classe</t>
        </is>
      </c>
      <c r="B1" s="1" t="inlineStr">
        <is>
          <t>Bene</t>
        </is>
      </c>
      <c r="C1" s="1" t="inlineStr">
        <is>
          <t>Acquisto</t>
        </is>
      </c>
      <c r="D1" s="1" t="inlineStr">
        <is>
          <t>Aliquota</t>
        </is>
      </c>
      <c r="E1" s="1" t="inlineStr">
        <is>
          <t>Costo 1/1</t>
        </is>
      </c>
      <c r="F1" s="1" t="inlineStr">
        <is>
          <t>Incrementi</t>
        </is>
      </c>
      <c r="G1" s="1" t="inlineStr">
        <is>
          <t>Costo 31/12</t>
        </is>
      </c>
      <c r="H1" s="1" t="inlineStr">
        <is>
          <t>Fondo 1/1</t>
        </is>
      </c>
      <c r="I1" s="1" t="inlineStr">
        <is>
          <t>Ammortamento</t>
        </is>
      </c>
      <c r="J1" s="1" t="inlineStr">
        <is>
          <t>Fondo 31/12</t>
        </is>
      </c>
      <c r="K1" s="1" t="inlineStr">
        <is>
          <t>Valore netto</t>
        </is>
      </c>
    </row>
    <row r="2">
      <c r="A2" s="2" t="inlineStr">
        <is>
          <t>Costi di sviluppo</t>
        </is>
      </c>
      <c r="B2" s="2" t="inlineStr">
        <is>
          <t>Piattaforma Atlas: motore di stima (versione 1)</t>
        </is>
      </c>
      <c r="C2" s="3" t="n">
        <v>43456</v>
      </c>
      <c r="D2" s="4" t="n">
        <v>0.2</v>
      </c>
      <c r="E2" s="5" t="n">
        <v>29400</v>
      </c>
      <c r="F2" s="5" t="n">
        <v>0</v>
      </c>
      <c r="G2" s="5" t="n">
        <v>29400</v>
      </c>
      <c r="H2" s="5" t="n">
        <v>25938</v>
      </c>
      <c r="I2" s="5" t="n">
        <v>2633</v>
      </c>
      <c r="J2" s="5" t="n">
        <v>28571</v>
      </c>
      <c r="K2" s="5" t="n">
        <v>829</v>
      </c>
    </row>
    <row r="3">
      <c r="A3" s="2" t="inlineStr">
        <is>
          <t>Costi di sviluppo</t>
        </is>
      </c>
      <c r="B3" s="2" t="inlineStr">
        <is>
          <t>Piattaforma Atlas: modulo di acquisizione dei documenti</t>
        </is>
      </c>
      <c r="C3" s="3" t="n">
        <v>43821</v>
      </c>
      <c r="D3" s="4" t="n">
        <v>0.2</v>
      </c>
      <c r="E3" s="5" t="n">
        <v>29400</v>
      </c>
      <c r="F3" s="5" t="n">
        <v>0</v>
      </c>
      <c r="G3" s="5" t="n">
        <v>29400</v>
      </c>
      <c r="H3" s="5" t="n">
        <v>20047</v>
      </c>
      <c r="I3" s="5" t="n">
        <v>2633</v>
      </c>
      <c r="J3" s="5" t="n">
        <v>22680</v>
      </c>
      <c r="K3" s="5" t="n">
        <v>6720</v>
      </c>
    </row>
    <row r="4">
      <c r="A4" s="2" t="inlineStr">
        <is>
          <t>Costi di sviluppo</t>
        </is>
      </c>
      <c r="B4" s="2" t="inlineStr">
        <is>
          <t>Piattaforma Atlas: archivio delle regole dei bandi</t>
        </is>
      </c>
      <c r="C4" s="3" t="n">
        <v>44187</v>
      </c>
      <c r="D4" s="4" t="n">
        <v>0.2</v>
      </c>
      <c r="E4" s="5" t="n">
        <v>24500</v>
      </c>
      <c r="F4" s="5" t="n">
        <v>0</v>
      </c>
      <c r="G4" s="5" t="n">
        <v>24500</v>
      </c>
      <c r="H4" s="5" t="n">
        <v>11797</v>
      </c>
      <c r="I4" s="5" t="n">
        <v>2194</v>
      </c>
      <c r="J4" s="5" t="n">
        <v>13991</v>
      </c>
      <c r="K4" s="5" t="n">
        <v>10509</v>
      </c>
    </row>
    <row r="5">
      <c r="A5" s="2" t="inlineStr">
        <is>
          <t>Costi di sviluppo</t>
        </is>
      </c>
      <c r="B5" s="2" t="inlineStr">
        <is>
          <t>Piattaforma Atlas: interfaccia web e reportistica</t>
        </is>
      </c>
      <c r="C5" s="3" t="n">
        <v>44552</v>
      </c>
      <c r="D5" s="4" t="n">
        <v>0.2</v>
      </c>
      <c r="E5" s="5" t="n">
        <v>14700</v>
      </c>
      <c r="F5" s="5" t="n">
        <v>0</v>
      </c>
      <c r="G5" s="5" t="n">
        <v>14700</v>
      </c>
      <c r="H5" s="5" t="n">
        <v>4132</v>
      </c>
      <c r="I5" s="5" t="n">
        <v>1317</v>
      </c>
      <c r="J5" s="5" t="n">
        <v>5449</v>
      </c>
      <c r="K5" s="5" t="n">
        <v>9251</v>
      </c>
    </row>
    <row r="6">
      <c r="A6" s="2" t="inlineStr">
        <is>
          <t>Costi di sviluppo</t>
        </is>
      </c>
      <c r="B6" s="2" t="inlineStr">
        <is>
          <t>Piattaforma Atlas: miglioramento del motore di stima</t>
        </is>
      </c>
      <c r="C6" s="3" t="n">
        <v>44917</v>
      </c>
      <c r="D6" s="4" t="n">
        <v>0.2</v>
      </c>
      <c r="E6" s="5" t="n">
        <v>10296</v>
      </c>
      <c r="F6" s="5" t="n">
        <v>0</v>
      </c>
      <c r="G6" s="5" t="n">
        <v>10296</v>
      </c>
      <c r="H6" s="5" t="n">
        <v>416</v>
      </c>
      <c r="I6" s="5" t="n">
        <v>922</v>
      </c>
      <c r="J6" s="5" t="n">
        <v>1338</v>
      </c>
      <c r="K6" s="5" t="n">
        <v>8958</v>
      </c>
    </row>
    <row r="7">
      <c r="A7" s="2" t="inlineStr">
        <is>
          <t>Costi di sviluppo</t>
        </is>
      </c>
      <c r="B7" s="2" t="inlineStr">
        <is>
          <t>Piattaforma Atlas: motore di calcolo deterministico</t>
        </is>
      </c>
      <c r="C7" s="3" t="n">
        <v>45282</v>
      </c>
      <c r="D7" s="4" t="n">
        <v>0.2</v>
      </c>
      <c r="E7" s="5" t="n">
        <v>0</v>
      </c>
      <c r="F7" s="5" t="n">
        <v>21024</v>
      </c>
      <c r="G7" s="5" t="n">
        <v>21024</v>
      </c>
      <c r="H7" s="5" t="n">
        <v>0</v>
      </c>
      <c r="I7" s="5" t="n">
        <v>941</v>
      </c>
      <c r="J7" s="5" t="n">
        <v>941</v>
      </c>
      <c r="K7" s="5" t="n">
        <v>20083</v>
      </c>
    </row>
    <row r="8">
      <c r="A8" s="2" t="inlineStr">
        <is>
          <t>Diritti di utilizzazione di opere dell'ingegno (software applicativo)</t>
        </is>
      </c>
      <c r="B8" s="2" t="inlineStr">
        <is>
          <t>Licenza perpetua ambiente di modellazione UML e CAD</t>
        </is>
      </c>
      <c r="C8" s="3" t="n">
        <v>42819</v>
      </c>
      <c r="D8" s="4" t="n">
        <v>0.33</v>
      </c>
      <c r="E8" s="5" t="n">
        <v>7700</v>
      </c>
      <c r="F8" s="5" t="n">
        <v>0</v>
      </c>
      <c r="G8" s="5" t="n">
        <v>7700</v>
      </c>
      <c r="H8" s="5" t="n">
        <v>6191</v>
      </c>
      <c r="I8" s="5" t="n">
        <v>860</v>
      </c>
      <c r="J8" s="5" t="n">
        <v>7051</v>
      </c>
      <c r="K8" s="5" t="n">
        <v>649</v>
      </c>
    </row>
    <row r="9">
      <c r="A9" s="2" t="inlineStr">
        <is>
          <t>Diritti di utilizzazione di opere dell'ingegno (software applicativo)</t>
        </is>
      </c>
      <c r="B9" s="2" t="inlineStr">
        <is>
          <t>Software di gestione progetti e ticketing (licenza perpetua)</t>
        </is>
      </c>
      <c r="C9" s="3" t="n">
        <v>43275</v>
      </c>
      <c r="D9" s="4" t="n">
        <v>0.33</v>
      </c>
      <c r="E9" s="5" t="n">
        <v>8800</v>
      </c>
      <c r="F9" s="5" t="n">
        <v>0</v>
      </c>
      <c r="G9" s="5" t="n">
        <v>8800</v>
      </c>
      <c r="H9" s="5" t="n">
        <v>7075</v>
      </c>
      <c r="I9" s="5" t="n">
        <v>983</v>
      </c>
      <c r="J9" s="5" t="n">
        <v>8058</v>
      </c>
      <c r="K9" s="5" t="n">
        <v>742</v>
      </c>
    </row>
    <row r="10">
      <c r="A10" s="2" t="inlineStr">
        <is>
          <t>Diritti di utilizzazione di opere dell'ingegno (software applicativo)</t>
        </is>
      </c>
      <c r="B10" s="2" t="inlineStr">
        <is>
          <t>Software di business intelligence (licenza perpetua)</t>
        </is>
      </c>
      <c r="C10" s="3" t="n">
        <v>44097</v>
      </c>
      <c r="D10" s="4" t="n">
        <v>0.33</v>
      </c>
      <c r="E10" s="5" t="n">
        <v>5500</v>
      </c>
      <c r="F10" s="5" t="n">
        <v>0</v>
      </c>
      <c r="G10" s="5" t="n">
        <v>5500</v>
      </c>
      <c r="H10" s="5" t="n">
        <v>2982</v>
      </c>
      <c r="I10" s="5" t="n">
        <v>615</v>
      </c>
      <c r="J10" s="5" t="n">
        <v>3597</v>
      </c>
      <c r="K10" s="5" t="n">
        <v>1903</v>
      </c>
    </row>
    <row r="11">
      <c r="A11" s="2" t="inlineStr">
        <is>
          <t>Diritti di utilizzazione di opere dell'ingegno (software applicativo)</t>
        </is>
      </c>
      <c r="B11" s="2" t="inlineStr">
        <is>
          <t>Software di contabilità e gestione paghe (licenza)</t>
        </is>
      </c>
      <c r="C11" s="3" t="n">
        <v>44610</v>
      </c>
      <c r="D11" s="4" t="n">
        <v>0.33</v>
      </c>
      <c r="E11" s="5" t="n">
        <v>2574</v>
      </c>
      <c r="F11" s="5" t="n">
        <v>0</v>
      </c>
      <c r="G11" s="5" t="n">
        <v>2574</v>
      </c>
      <c r="H11" s="5" t="n">
        <v>132</v>
      </c>
      <c r="I11" s="5" t="n">
        <v>288</v>
      </c>
      <c r="J11" s="5" t="n">
        <v>420</v>
      </c>
      <c r="K11" s="5" t="n">
        <v>2154</v>
      </c>
    </row>
    <row r="12">
      <c r="A12" s="2" t="inlineStr">
        <is>
          <t>Diritti di utilizzazione di opere dell'ingegno (software applicativo)</t>
        </is>
      </c>
      <c r="B12" s="2" t="inlineStr">
        <is>
          <t>Software di gestione documentale e firma digitale (licenza)</t>
        </is>
      </c>
      <c r="C12" s="3" t="n">
        <v>45063</v>
      </c>
      <c r="D12" s="4" t="n">
        <v>0.33</v>
      </c>
      <c r="E12" s="5" t="n">
        <v>0</v>
      </c>
      <c r="F12" s="5" t="n">
        <v>5256</v>
      </c>
      <c r="G12" s="5" t="n">
        <v>5256</v>
      </c>
      <c r="H12" s="5" t="n">
        <v>0</v>
      </c>
      <c r="I12" s="5" t="n">
        <v>294</v>
      </c>
      <c r="J12" s="5" t="n">
        <v>294</v>
      </c>
      <c r="K12" s="5" t="n">
        <v>4962</v>
      </c>
    </row>
    <row r="13">
      <c r="A13" s="2" t="inlineStr">
        <is>
          <t>Concessioni, licenze, marchi e diritti simili</t>
        </is>
      </c>
      <c r="B13" s="2" t="inlineStr">
        <is>
          <t>Marchio denominativo ATLAS: registrazione presso l'UIBM</t>
        </is>
      </c>
      <c r="C13" s="3" t="n">
        <v>43565</v>
      </c>
      <c r="D13" s="4" t="n">
        <v>0.2</v>
      </c>
      <c r="E13" s="5" t="n">
        <v>3100</v>
      </c>
      <c r="F13" s="5" t="n">
        <v>0</v>
      </c>
      <c r="G13" s="5" t="n">
        <v>3100</v>
      </c>
      <c r="H13" s="5" t="n">
        <v>2388</v>
      </c>
      <c r="I13" s="5" t="n">
        <v>256</v>
      </c>
      <c r="J13" s="5" t="n">
        <v>2644</v>
      </c>
      <c r="K13" s="5" t="n">
        <v>456</v>
      </c>
    </row>
    <row r="14">
      <c r="A14" s="2" t="inlineStr">
        <is>
          <t>Concessioni, licenze, marchi e diritti simili</t>
        </is>
      </c>
      <c r="B14" s="2" t="inlineStr">
        <is>
          <t>Marchio figurativo Meridiana: registrazione e rinnovo</t>
        </is>
      </c>
      <c r="C14" s="3" t="n">
        <v>44006</v>
      </c>
      <c r="D14" s="4" t="n">
        <v>0.2</v>
      </c>
      <c r="E14" s="5" t="n">
        <v>3100</v>
      </c>
      <c r="F14" s="5" t="n">
        <v>0</v>
      </c>
      <c r="G14" s="5" t="n">
        <v>3100</v>
      </c>
      <c r="H14" s="5" t="n">
        <v>1667</v>
      </c>
      <c r="I14" s="5" t="n">
        <v>256</v>
      </c>
      <c r="J14" s="5" t="n">
        <v>1923</v>
      </c>
      <c r="K14" s="5" t="n">
        <v>1177</v>
      </c>
    </row>
    <row r="15">
      <c r="A15" s="2" t="inlineStr">
        <is>
          <t>Concessioni, licenze, marchi e diritti simili</t>
        </is>
      </c>
      <c r="B15" s="2" t="inlineStr">
        <is>
          <t>Certificazione ISO 9001: costi di prima certificazione</t>
        </is>
      </c>
      <c r="C15" s="3" t="n">
        <v>44842</v>
      </c>
      <c r="D15" s="4" t="n">
        <v>0.2</v>
      </c>
      <c r="E15" s="5" t="n">
        <v>572</v>
      </c>
      <c r="F15" s="5" t="n">
        <v>0</v>
      </c>
      <c r="G15" s="5" t="n">
        <v>572</v>
      </c>
      <c r="H15" s="5" t="n">
        <v>21</v>
      </c>
      <c r="I15" s="5" t="n">
        <v>48</v>
      </c>
      <c r="J15" s="5" t="n">
        <v>69</v>
      </c>
      <c r="K15" s="5" t="n">
        <v>503</v>
      </c>
    </row>
    <row r="16">
      <c r="A16" s="2" t="inlineStr">
        <is>
          <t>Concessioni, licenze, marchi e diritti simili</t>
        </is>
      </c>
      <c r="B16" s="2" t="inlineStr">
        <is>
          <t>Certificazione ISO/IEC 27001: costi di prima certificazione</t>
        </is>
      </c>
      <c r="C16" s="3" t="n">
        <v>45192</v>
      </c>
      <c r="D16" s="4" t="n">
        <v>0.2</v>
      </c>
      <c r="E16" s="5" t="n">
        <v>0</v>
      </c>
      <c r="F16" s="5" t="n">
        <v>1168</v>
      </c>
      <c r="G16" s="5" t="n">
        <v>1168</v>
      </c>
      <c r="H16" s="5" t="n">
        <v>0</v>
      </c>
      <c r="I16" s="5" t="n">
        <v>48</v>
      </c>
      <c r="J16" s="5" t="n">
        <v>48</v>
      </c>
      <c r="K16" s="5" t="n">
        <v>1120</v>
      </c>
    </row>
    <row r="17">
      <c r="A17" s="2" t="inlineStr">
        <is>
          <t>Altre immobilizzazioni immateriali (migliorie su beni di terzi)</t>
        </is>
      </c>
      <c r="B17" s="2" t="inlineStr">
        <is>
          <t>Migliorie su beni di terzi: sede legale di via Garibaldi (pareti e impianti)</t>
        </is>
      </c>
      <c r="C17" s="3" t="n">
        <v>42454</v>
      </c>
      <c r="D17" s="4" t="n">
        <v>0.2</v>
      </c>
      <c r="E17" s="5" t="n">
        <v>4500</v>
      </c>
      <c r="F17" s="5" t="n">
        <v>0</v>
      </c>
      <c r="G17" s="5" t="n">
        <v>4500</v>
      </c>
      <c r="H17" s="5" t="n">
        <v>4500</v>
      </c>
      <c r="I17" s="5" t="n">
        <v>0</v>
      </c>
      <c r="J17" s="5" t="n">
        <v>4500</v>
      </c>
      <c r="K17" s="5" t="n">
        <v>0</v>
      </c>
    </row>
    <row r="18">
      <c r="A18" s="2" t="inlineStr">
        <is>
          <t>Altre immobilizzazioni immateriali (migliorie su beni di terzi)</t>
        </is>
      </c>
      <c r="B18" s="2" t="inlineStr">
        <is>
          <t>Migliorie su beni di terzi: sala server e cablaggio dedicato</t>
        </is>
      </c>
      <c r="C18" s="3" t="n">
        <v>43655</v>
      </c>
      <c r="D18" s="4" t="n">
        <v>0.2</v>
      </c>
      <c r="E18" s="5" t="n">
        <v>3000</v>
      </c>
      <c r="F18" s="5" t="n">
        <v>0</v>
      </c>
      <c r="G18" s="5" t="n">
        <v>3000</v>
      </c>
      <c r="H18" s="5" t="n">
        <v>2142</v>
      </c>
      <c r="I18" s="5" t="n">
        <v>224</v>
      </c>
      <c r="J18" s="5" t="n">
        <v>2366</v>
      </c>
      <c r="K18" s="5" t="n">
        <v>634</v>
      </c>
    </row>
    <row r="19">
      <c r="A19" s="2" t="inlineStr">
        <is>
          <t>Altre immobilizzazioni immateriali (migliorie su beni di terzi)</t>
        </is>
      </c>
      <c r="B19" s="2" t="inlineStr">
        <is>
          <t>Migliorie su beni di terzi: unità locale di corso Francia (laboratorio dati)</t>
        </is>
      </c>
      <c r="C19" s="3" t="n">
        <v>44462</v>
      </c>
      <c r="D19" s="4" t="n">
        <v>0.2</v>
      </c>
      <c r="E19" s="5" t="n">
        <v>7500</v>
      </c>
      <c r="F19" s="5" t="n">
        <v>0</v>
      </c>
      <c r="G19" s="5" t="n">
        <v>7500</v>
      </c>
      <c r="H19" s="5" t="n">
        <v>2049</v>
      </c>
      <c r="I19" s="5" t="n">
        <v>559</v>
      </c>
      <c r="J19" s="5" t="n">
        <v>2608</v>
      </c>
      <c r="K19" s="5" t="n">
        <v>4892</v>
      </c>
    </row>
    <row r="20">
      <c r="A20" s="2" t="inlineStr">
        <is>
          <t>Altre immobilizzazioni immateriali (migliorie su beni di terzi)</t>
        </is>
      </c>
      <c r="B20" s="2" t="inlineStr">
        <is>
          <t>Migliorie su beni di terzi: ampliamento sala riunioni</t>
        </is>
      </c>
      <c r="C20" s="3" t="n">
        <v>44736</v>
      </c>
      <c r="D20" s="4" t="n">
        <v>0.2</v>
      </c>
      <c r="E20" s="5" t="n">
        <v>858</v>
      </c>
      <c r="F20" s="5" t="n">
        <v>0</v>
      </c>
      <c r="G20" s="5" t="n">
        <v>858</v>
      </c>
      <c r="H20" s="5" t="n">
        <v>23</v>
      </c>
      <c r="I20" s="5" t="n">
        <v>64</v>
      </c>
      <c r="J20" s="5" t="n">
        <v>87</v>
      </c>
      <c r="K20" s="5" t="n">
        <v>771</v>
      </c>
    </row>
    <row r="21">
      <c r="A21" s="2" t="inlineStr">
        <is>
          <t>Altre immobilizzazioni immateriali (migliorie su beni di terzi)</t>
        </is>
      </c>
      <c r="B21" s="2" t="inlineStr">
        <is>
          <t>Migliorie su beni di terzi: cabina di proiezione e area formazione</t>
        </is>
      </c>
      <c r="C21" s="3" t="n">
        <v>45026</v>
      </c>
      <c r="D21" s="4" t="n">
        <v>0.2</v>
      </c>
      <c r="E21" s="5" t="n">
        <v>0</v>
      </c>
      <c r="F21" s="5" t="n">
        <v>1752</v>
      </c>
      <c r="G21" s="5" t="n">
        <v>1752</v>
      </c>
      <c r="H21" s="5" t="n">
        <v>0</v>
      </c>
      <c r="I21" s="5" t="n">
        <v>65</v>
      </c>
      <c r="J21" s="5" t="n">
        <v>65</v>
      </c>
      <c r="K21" s="5" t="n">
        <v>1687</v>
      </c>
    </row>
    <row r="22">
      <c r="A22" s="2" t="inlineStr">
        <is>
          <t>Impianti e macchinario (impianti di rete e cablaggio)</t>
        </is>
      </c>
      <c r="B22" s="2" t="inlineStr">
        <is>
          <t>Cablaggio strutturato degli uffici di via Garibaldi</t>
        </is>
      </c>
      <c r="C22" s="3" t="n">
        <v>42835</v>
      </c>
      <c r="D22" s="4" t="n">
        <v>0.15</v>
      </c>
      <c r="E22" s="5" t="n">
        <v>9800</v>
      </c>
      <c r="F22" s="5" t="n">
        <v>0</v>
      </c>
      <c r="G22" s="5" t="n">
        <v>9800</v>
      </c>
      <c r="H22" s="5" t="n">
        <v>8521</v>
      </c>
      <c r="I22" s="5" t="n">
        <v>855</v>
      </c>
      <c r="J22" s="5" t="n">
        <v>9376</v>
      </c>
      <c r="K22" s="5" t="n">
        <v>424</v>
      </c>
    </row>
    <row r="23">
      <c r="A23" s="2" t="inlineStr">
        <is>
          <t>Impianti e macchinario (impianti di rete e cablaggio)</t>
        </is>
      </c>
      <c r="B23" s="2" t="inlineStr">
        <is>
          <t>Impianto di condizionamento della sede</t>
        </is>
      </c>
      <c r="C23" s="3" t="n">
        <v>43275</v>
      </c>
      <c r="D23" s="4" t="n">
        <v>0.15</v>
      </c>
      <c r="E23" s="5" t="n">
        <v>8400</v>
      </c>
      <c r="F23" s="5" t="n">
        <v>0</v>
      </c>
      <c r="G23" s="5" t="n">
        <v>8400</v>
      </c>
      <c r="H23" s="5" t="n">
        <v>5975</v>
      </c>
      <c r="I23" s="5" t="n">
        <v>732</v>
      </c>
      <c r="J23" s="5" t="n">
        <v>6707</v>
      </c>
      <c r="K23" s="5" t="n">
        <v>1693</v>
      </c>
    </row>
    <row r="24">
      <c r="A24" s="2" t="inlineStr">
        <is>
          <t>Impianti e macchinario (impianti di rete e cablaggio)</t>
        </is>
      </c>
      <c r="B24" s="2" t="inlineStr">
        <is>
          <t>Impianto di videosorveglianza e controllo accessi</t>
        </is>
      </c>
      <c r="C24" s="3" t="n">
        <v>44112</v>
      </c>
      <c r="D24" s="4" t="n">
        <v>0.15</v>
      </c>
      <c r="E24" s="5" t="n">
        <v>5600</v>
      </c>
      <c r="F24" s="5" t="n">
        <v>0</v>
      </c>
      <c r="G24" s="5" t="n">
        <v>5600</v>
      </c>
      <c r="H24" s="5" t="n">
        <v>2213</v>
      </c>
      <c r="I24" s="5" t="n">
        <v>488</v>
      </c>
      <c r="J24" s="5" t="n">
        <v>2701</v>
      </c>
      <c r="K24" s="5" t="n">
        <v>2899</v>
      </c>
    </row>
    <row r="25">
      <c r="A25" s="2" t="inlineStr">
        <is>
          <t>Impianti e macchinario (impianti di rete e cablaggio)</t>
        </is>
      </c>
      <c r="B25" s="2" t="inlineStr">
        <is>
          <t>Impianto elettrico di continuità (UPS) della sala server</t>
        </is>
      </c>
      <c r="C25" s="3" t="n">
        <v>44280</v>
      </c>
      <c r="D25" s="4" t="n">
        <v>0.15</v>
      </c>
      <c r="E25" s="5" t="n">
        <v>4200</v>
      </c>
      <c r="F25" s="5" t="n">
        <v>0</v>
      </c>
      <c r="G25" s="5" t="n">
        <v>4200</v>
      </c>
      <c r="H25" s="5" t="n">
        <v>995</v>
      </c>
      <c r="I25" s="5" t="n">
        <v>366</v>
      </c>
      <c r="J25" s="5" t="n">
        <v>1361</v>
      </c>
      <c r="K25" s="5" t="n">
        <v>2839</v>
      </c>
    </row>
    <row r="26">
      <c r="A26" s="2" t="inlineStr">
        <is>
          <t>Impianti e macchinario (impianti di rete e cablaggio)</t>
        </is>
      </c>
      <c r="B26" s="2" t="inlineStr">
        <is>
          <t>Impianto di rete wireless degli uffici</t>
        </is>
      </c>
      <c r="C26" s="3" t="n">
        <v>44698</v>
      </c>
      <c r="D26" s="4" t="n">
        <v>0.15</v>
      </c>
      <c r="E26" s="5" t="n">
        <v>2796</v>
      </c>
      <c r="F26" s="5" t="n">
        <v>0</v>
      </c>
      <c r="G26" s="5" t="n">
        <v>2796</v>
      </c>
      <c r="H26" s="5" t="n">
        <v>110</v>
      </c>
      <c r="I26" s="5" t="n">
        <v>244</v>
      </c>
      <c r="J26" s="5" t="n">
        <v>354</v>
      </c>
      <c r="K26" s="5" t="n">
        <v>2442</v>
      </c>
    </row>
    <row r="27">
      <c r="A27" s="2" t="inlineStr">
        <is>
          <t>Impianti e macchinario (impianti di rete e cablaggio)</t>
        </is>
      </c>
      <c r="B27" s="2" t="inlineStr">
        <is>
          <t>Impianto di rilevazione presenze e domotica leggera</t>
        </is>
      </c>
      <c r="C27" s="3" t="n">
        <v>45192</v>
      </c>
      <c r="D27" s="4" t="n">
        <v>0.15</v>
      </c>
      <c r="E27" s="5" t="n">
        <v>0</v>
      </c>
      <c r="F27" s="5" t="n">
        <v>3708</v>
      </c>
      <c r="G27" s="5" t="n">
        <v>3708</v>
      </c>
      <c r="H27" s="5" t="n">
        <v>0</v>
      </c>
      <c r="I27" s="5" t="n">
        <v>162</v>
      </c>
      <c r="J27" s="5" t="n">
        <v>162</v>
      </c>
      <c r="K27" s="5" t="n">
        <v>3546</v>
      </c>
    </row>
    <row r="28">
      <c r="A28" s="2" t="inlineStr">
        <is>
          <t>Attrezzature industriali e commerciali (server e apparati di test)</t>
        </is>
      </c>
      <c r="B28" s="2" t="inlineStr">
        <is>
          <t>Server di produzione (cluster di tre nodi)</t>
        </is>
      </c>
      <c r="C28" s="3" t="n">
        <v>43237</v>
      </c>
      <c r="D28" s="4" t="n">
        <v>0.2</v>
      </c>
      <c r="E28" s="5" t="n">
        <v>18300</v>
      </c>
      <c r="F28" s="5" t="n">
        <v>0</v>
      </c>
      <c r="G28" s="5" t="n">
        <v>18300</v>
      </c>
      <c r="H28" s="5" t="n">
        <v>18300</v>
      </c>
      <c r="I28" s="5" t="n">
        <v>0</v>
      </c>
      <c r="J28" s="5" t="n">
        <v>18300</v>
      </c>
      <c r="K28" s="5" t="n">
        <v>0</v>
      </c>
    </row>
    <row r="29">
      <c r="A29" s="2" t="inlineStr">
        <is>
          <t>Attrezzature industriali e commerciali (server e apparati di test)</t>
        </is>
      </c>
      <c r="B29" s="2" t="inlineStr">
        <is>
          <t>Server di test e integrazione</t>
        </is>
      </c>
      <c r="C29" s="3" t="n">
        <v>43731</v>
      </c>
      <c r="D29" s="4" t="n">
        <v>0.2</v>
      </c>
      <c r="E29" s="5" t="n">
        <v>12200</v>
      </c>
      <c r="F29" s="5" t="n">
        <v>0</v>
      </c>
      <c r="G29" s="5" t="n">
        <v>12200</v>
      </c>
      <c r="H29" s="5" t="n">
        <v>9650</v>
      </c>
      <c r="I29" s="5" t="n">
        <v>1367</v>
      </c>
      <c r="J29" s="5" t="n">
        <v>11017</v>
      </c>
      <c r="K29" s="5" t="n">
        <v>1183</v>
      </c>
    </row>
    <row r="30">
      <c r="A30" s="2" t="inlineStr">
        <is>
          <t>Attrezzature industriali e commerciali (server e apparati di test)</t>
        </is>
      </c>
      <c r="B30" s="2" t="inlineStr">
        <is>
          <t>Apparati di rete e firewall di perimetro</t>
        </is>
      </c>
      <c r="C30" s="3" t="n">
        <v>43879</v>
      </c>
      <c r="D30" s="4" t="n">
        <v>0.2</v>
      </c>
      <c r="E30" s="5" t="n">
        <v>12200</v>
      </c>
      <c r="F30" s="5" t="n">
        <v>0</v>
      </c>
      <c r="G30" s="5" t="n">
        <v>12200</v>
      </c>
      <c r="H30" s="5" t="n">
        <v>6770</v>
      </c>
      <c r="I30" s="5" t="n">
        <v>1367</v>
      </c>
      <c r="J30" s="5" t="n">
        <v>8137</v>
      </c>
      <c r="K30" s="5" t="n">
        <v>4063</v>
      </c>
    </row>
    <row r="31">
      <c r="A31" s="2" t="inlineStr">
        <is>
          <t>Attrezzature industriali e commerciali (server e apparati di test)</t>
        </is>
      </c>
      <c r="B31" s="2" t="inlineStr">
        <is>
          <t>Sistema di storage e backup</t>
        </is>
      </c>
      <c r="C31" s="3" t="n">
        <v>44515</v>
      </c>
      <c r="D31" s="4" t="n">
        <v>0.2</v>
      </c>
      <c r="E31" s="5" t="n">
        <v>18300</v>
      </c>
      <c r="F31" s="5" t="n">
        <v>0</v>
      </c>
      <c r="G31" s="5" t="n">
        <v>18300</v>
      </c>
      <c r="H31" s="5" t="n">
        <v>5835</v>
      </c>
      <c r="I31" s="5" t="n">
        <v>2050</v>
      </c>
      <c r="J31" s="5" t="n">
        <v>7885</v>
      </c>
      <c r="K31" s="5" t="n">
        <v>10415</v>
      </c>
    </row>
    <row r="32">
      <c r="A32" s="2" t="inlineStr">
        <is>
          <t>Attrezzature industriali e commerciali (server e apparati di test)</t>
        </is>
      </c>
      <c r="B32" s="2" t="inlineStr">
        <is>
          <t>Parco dispositivi di test mobile (smartphone e tablet)</t>
        </is>
      </c>
      <c r="C32" s="3" t="n">
        <v>44645</v>
      </c>
      <c r="D32" s="4" t="n">
        <v>0.2</v>
      </c>
      <c r="E32" s="5" t="n">
        <v>6058</v>
      </c>
      <c r="F32" s="5" t="n">
        <v>0</v>
      </c>
      <c r="G32" s="5" t="n">
        <v>6058</v>
      </c>
      <c r="H32" s="5" t="n">
        <v>251</v>
      </c>
      <c r="I32" s="5" t="n">
        <v>679</v>
      </c>
      <c r="J32" s="5" t="n">
        <v>930</v>
      </c>
      <c r="K32" s="5" t="n">
        <v>5128</v>
      </c>
    </row>
    <row r="33">
      <c r="A33" s="2" t="inlineStr">
        <is>
          <t>Attrezzature industriali e commerciali (server e apparati di test)</t>
        </is>
      </c>
      <c r="B33" s="2" t="inlineStr">
        <is>
          <t>Nodo aggiuntivo di calcolo per la piattaforma</t>
        </is>
      </c>
      <c r="C33" s="3" t="n">
        <v>45101</v>
      </c>
      <c r="D33" s="4" t="n">
        <v>0.2</v>
      </c>
      <c r="E33" s="5" t="n">
        <v>0</v>
      </c>
      <c r="F33" s="5" t="n">
        <v>8034</v>
      </c>
      <c r="G33" s="5" t="n">
        <v>8034</v>
      </c>
      <c r="H33" s="5" t="n">
        <v>0</v>
      </c>
      <c r="I33" s="5" t="n">
        <v>450</v>
      </c>
      <c r="J33" s="5" t="n">
        <v>450</v>
      </c>
      <c r="K33" s="5" t="n">
        <v>7584</v>
      </c>
    </row>
    <row r="34">
      <c r="A34" s="2" t="inlineStr">
        <is>
          <t>Altri beni: macchine d'ufficio elettroniche</t>
        </is>
      </c>
      <c r="B34" s="2" t="inlineStr">
        <is>
          <t>Workstation di sviluppo (primo lotto)</t>
        </is>
      </c>
      <c r="C34" s="3" t="n">
        <v>42872</v>
      </c>
      <c r="D34" s="4" t="n">
        <v>0.2</v>
      </c>
      <c r="E34" s="5" t="n">
        <v>16800</v>
      </c>
      <c r="F34" s="5" t="n">
        <v>0</v>
      </c>
      <c r="G34" s="5" t="n">
        <v>16800</v>
      </c>
      <c r="H34" s="5" t="n">
        <v>16800</v>
      </c>
      <c r="I34" s="5" t="n">
        <v>0</v>
      </c>
      <c r="J34" s="5" t="n">
        <v>16800</v>
      </c>
      <c r="K34" s="5" t="n">
        <v>0</v>
      </c>
    </row>
    <row r="35">
      <c r="A35" s="2" t="inlineStr">
        <is>
          <t>Altri beni: macchine d'ufficio elettroniche</t>
        </is>
      </c>
      <c r="B35" s="2" t="inlineStr">
        <is>
          <t>Notebook di sviluppo (secondo lotto)</t>
        </is>
      </c>
      <c r="C35" s="3" t="n">
        <v>43549</v>
      </c>
      <c r="D35" s="4" t="n">
        <v>0.2</v>
      </c>
      <c r="E35" s="5" t="n">
        <v>25200</v>
      </c>
      <c r="F35" s="5" t="n">
        <v>0</v>
      </c>
      <c r="G35" s="5" t="n">
        <v>25200</v>
      </c>
      <c r="H35" s="5" t="n">
        <v>25200</v>
      </c>
      <c r="I35" s="5" t="n">
        <v>0</v>
      </c>
      <c r="J35" s="5" t="n">
        <v>25200</v>
      </c>
      <c r="K35" s="5" t="n">
        <v>0</v>
      </c>
    </row>
    <row r="36">
      <c r="A36" s="2" t="inlineStr">
        <is>
          <t>Altri beni: macchine d'ufficio elettroniche</t>
        </is>
      </c>
      <c r="B36" s="2" t="inlineStr">
        <is>
          <t>Monitor 27 pollici (lotto)</t>
        </is>
      </c>
      <c r="C36" s="3" t="n">
        <v>44097</v>
      </c>
      <c r="D36" s="4" t="n">
        <v>0.2</v>
      </c>
      <c r="E36" s="5" t="n">
        <v>12600</v>
      </c>
      <c r="F36" s="5" t="n">
        <v>0</v>
      </c>
      <c r="G36" s="5" t="n">
        <v>12600</v>
      </c>
      <c r="H36" s="5" t="n">
        <v>10552</v>
      </c>
      <c r="I36" s="5" t="n">
        <v>1963</v>
      </c>
      <c r="J36" s="5" t="n">
        <v>12515</v>
      </c>
      <c r="K36" s="5" t="n">
        <v>85</v>
      </c>
    </row>
    <row r="37">
      <c r="A37" s="2" t="inlineStr">
        <is>
          <t>Altri beni: macchine d'ufficio elettroniche</t>
        </is>
      </c>
      <c r="B37" s="2" t="inlineStr">
        <is>
          <t>Stazione di lavoro grafica per la progettazione UX</t>
        </is>
      </c>
      <c r="C37" s="3" t="n">
        <v>44371</v>
      </c>
      <c r="D37" s="4" t="n">
        <v>0.2</v>
      </c>
      <c r="E37" s="5" t="n">
        <v>12600</v>
      </c>
      <c r="F37" s="5" t="n">
        <v>0</v>
      </c>
      <c r="G37" s="5" t="n">
        <v>12600</v>
      </c>
      <c r="H37" s="5" t="n">
        <v>6106</v>
      </c>
      <c r="I37" s="5" t="n">
        <v>1962</v>
      </c>
      <c r="J37" s="5" t="n">
        <v>8068</v>
      </c>
      <c r="K37" s="5" t="n">
        <v>4532</v>
      </c>
    </row>
    <row r="38">
      <c r="A38" s="2" t="inlineStr">
        <is>
          <t>Altri beni: macchine d'ufficio elettroniche</t>
        </is>
      </c>
      <c r="B38" s="2" t="inlineStr">
        <is>
          <t>Notebook di sviluppo (terzo lotto)</t>
        </is>
      </c>
      <c r="C38" s="3" t="n">
        <v>44477</v>
      </c>
      <c r="D38" s="4" t="n">
        <v>0.2</v>
      </c>
      <c r="E38" s="5" t="n">
        <v>16800</v>
      </c>
      <c r="F38" s="5" t="n">
        <v>0</v>
      </c>
      <c r="G38" s="5" t="n">
        <v>16800</v>
      </c>
      <c r="H38" s="5" t="n">
        <v>8142</v>
      </c>
      <c r="I38" s="5" t="n">
        <v>2617</v>
      </c>
      <c r="J38" s="5" t="n">
        <v>10759</v>
      </c>
      <c r="K38" s="5" t="n">
        <v>6041</v>
      </c>
    </row>
    <row r="39">
      <c r="A39" s="2" t="inlineStr">
        <is>
          <t>Altri beni: macchine d'ufficio elettroniche</t>
        </is>
      </c>
      <c r="B39" s="2" t="inlineStr">
        <is>
          <t>Workstation di sviluppo e notebook (lotto 2022)</t>
        </is>
      </c>
      <c r="C39" s="3" t="n">
        <v>44661</v>
      </c>
      <c r="D39" s="4" t="n">
        <v>0.2</v>
      </c>
      <c r="E39" s="5" t="n">
        <v>10252</v>
      </c>
      <c r="F39" s="5" t="n">
        <v>0</v>
      </c>
      <c r="G39" s="5" t="n">
        <v>10252</v>
      </c>
      <c r="H39" s="5" t="n">
        <v>676</v>
      </c>
      <c r="I39" s="5" t="n">
        <v>1597</v>
      </c>
      <c r="J39" s="5" t="n">
        <v>2273</v>
      </c>
      <c r="K39" s="5" t="n">
        <v>7979</v>
      </c>
    </row>
    <row r="40">
      <c r="A40" s="2" t="inlineStr">
        <is>
          <t>Altri beni: macchine d'ufficio elettroniche</t>
        </is>
      </c>
      <c r="B40" s="2" t="inlineStr">
        <is>
          <t>Notebook e dispositivi per i nuovi assunti (lotto 2023)</t>
        </is>
      </c>
      <c r="C40" s="3" t="n">
        <v>45154</v>
      </c>
      <c r="D40" s="4" t="n">
        <v>0.2</v>
      </c>
      <c r="E40" s="5" t="n">
        <v>0</v>
      </c>
      <c r="F40" s="5" t="n">
        <v>13596</v>
      </c>
      <c r="G40" s="5" t="n">
        <v>13596</v>
      </c>
      <c r="H40" s="5" t="n">
        <v>0</v>
      </c>
      <c r="I40" s="5" t="n">
        <v>1059</v>
      </c>
      <c r="J40" s="5" t="n">
        <v>1059</v>
      </c>
      <c r="K40" s="5" t="n">
        <v>12537</v>
      </c>
    </row>
    <row r="41">
      <c r="A41" s="2" t="inlineStr">
        <is>
          <t>Altri beni: mobili e arredi</t>
        </is>
      </c>
      <c r="B41" s="2" t="inlineStr">
        <is>
          <t>Scrivanie operative (lotto iniziale)</t>
        </is>
      </c>
      <c r="C41" s="3" t="n">
        <v>42784</v>
      </c>
      <c r="D41" s="4" t="n">
        <v>0.12</v>
      </c>
      <c r="E41" s="5" t="n">
        <v>11025</v>
      </c>
      <c r="F41" s="5" t="n">
        <v>0</v>
      </c>
      <c r="G41" s="5" t="n">
        <v>11025</v>
      </c>
      <c r="H41" s="5" t="n">
        <v>7574</v>
      </c>
      <c r="I41" s="5" t="n">
        <v>801</v>
      </c>
      <c r="J41" s="5" t="n">
        <v>8375</v>
      </c>
      <c r="K41" s="5" t="n">
        <v>2650</v>
      </c>
    </row>
    <row r="42">
      <c r="A42" s="2" t="inlineStr">
        <is>
          <t>Altri beni: mobili e arredi</t>
        </is>
      </c>
      <c r="B42" s="2" t="inlineStr">
        <is>
          <t>Sedie ergonomiche (lotto iniziale)</t>
        </is>
      </c>
      <c r="C42" s="3" t="n">
        <v>42784</v>
      </c>
      <c r="D42" s="4" t="n">
        <v>0.12</v>
      </c>
      <c r="E42" s="5" t="n">
        <v>6300</v>
      </c>
      <c r="F42" s="5" t="n">
        <v>0</v>
      </c>
      <c r="G42" s="5" t="n">
        <v>6300</v>
      </c>
      <c r="H42" s="5" t="n">
        <v>4328</v>
      </c>
      <c r="I42" s="5" t="n">
        <v>458</v>
      </c>
      <c r="J42" s="5" t="n">
        <v>4786</v>
      </c>
      <c r="K42" s="5" t="n">
        <v>1514</v>
      </c>
    </row>
    <row r="43">
      <c r="A43" s="2" t="inlineStr">
        <is>
          <t>Altri beni: mobili e arredi</t>
        </is>
      </c>
      <c r="B43" s="2" t="inlineStr">
        <is>
          <t>Armadi e arredi della sala riunioni</t>
        </is>
      </c>
      <c r="C43" s="3" t="n">
        <v>43784</v>
      </c>
      <c r="D43" s="4" t="n">
        <v>0.12</v>
      </c>
      <c r="E43" s="5" t="n">
        <v>7875</v>
      </c>
      <c r="F43" s="5" t="n">
        <v>0</v>
      </c>
      <c r="G43" s="5" t="n">
        <v>7875</v>
      </c>
      <c r="H43" s="5" t="n">
        <v>3450</v>
      </c>
      <c r="I43" s="5" t="n">
        <v>573</v>
      </c>
      <c r="J43" s="5" t="n">
        <v>4023</v>
      </c>
      <c r="K43" s="5" t="n">
        <v>3852</v>
      </c>
    </row>
    <row r="44">
      <c r="A44" s="2" t="inlineStr">
        <is>
          <t>Altri beni: mobili e arredi</t>
        </is>
      </c>
      <c r="B44" s="2" t="inlineStr">
        <is>
          <t>Arredi del laboratorio dati di corso Francia</t>
        </is>
      </c>
      <c r="C44" s="3" t="n">
        <v>44462</v>
      </c>
      <c r="D44" s="4" t="n">
        <v>0.12</v>
      </c>
      <c r="E44" s="5" t="n">
        <v>6300</v>
      </c>
      <c r="F44" s="5" t="n">
        <v>0</v>
      </c>
      <c r="G44" s="5" t="n">
        <v>6300</v>
      </c>
      <c r="H44" s="5" t="n">
        <v>1193</v>
      </c>
      <c r="I44" s="5" t="n">
        <v>458</v>
      </c>
      <c r="J44" s="5" t="n">
        <v>1651</v>
      </c>
      <c r="K44" s="5" t="n">
        <v>4649</v>
      </c>
    </row>
    <row r="45">
      <c r="A45" s="2" t="inlineStr">
        <is>
          <t>Altri beni: mobili e arredi</t>
        </is>
      </c>
      <c r="B45" s="2" t="inlineStr">
        <is>
          <t>Scrivanie e sedie per l'ampliamento dell'organico (2022)</t>
        </is>
      </c>
      <c r="C45" s="3" t="n">
        <v>44698</v>
      </c>
      <c r="D45" s="4" t="n">
        <v>0.12</v>
      </c>
      <c r="E45" s="5" t="n">
        <v>2796</v>
      </c>
      <c r="F45" s="5" t="n">
        <v>0</v>
      </c>
      <c r="G45" s="5" t="n">
        <v>2796</v>
      </c>
      <c r="H45" s="5" t="n">
        <v>91</v>
      </c>
      <c r="I45" s="5" t="n">
        <v>203</v>
      </c>
      <c r="J45" s="5" t="n">
        <v>294</v>
      </c>
      <c r="K45" s="5" t="n">
        <v>2502</v>
      </c>
    </row>
    <row r="46">
      <c r="A46" s="2" t="inlineStr">
        <is>
          <t>Altri beni: mobili e arredi</t>
        </is>
      </c>
      <c r="B46" s="2" t="inlineStr">
        <is>
          <t>Arredi e scrivanie regolabili (2023)</t>
        </is>
      </c>
      <c r="C46" s="3" t="n">
        <v>45116</v>
      </c>
      <c r="D46" s="4" t="n">
        <v>0.12</v>
      </c>
      <c r="E46" s="5" t="n">
        <v>0</v>
      </c>
      <c r="F46" s="5" t="n">
        <v>3708</v>
      </c>
      <c r="G46" s="5" t="n">
        <v>3708</v>
      </c>
      <c r="H46" s="5" t="n">
        <v>0</v>
      </c>
      <c r="I46" s="5" t="n">
        <v>135</v>
      </c>
      <c r="J46" s="5" t="n">
        <v>135</v>
      </c>
      <c r="K46" s="5" t="n">
        <v>3573</v>
      </c>
    </row>
    <row r="47">
      <c r="A47" s="2" t="inlineStr">
        <is>
          <t>Altri beni: autovetture e mezzi di trasporto interni</t>
        </is>
      </c>
      <c r="B47" s="2" t="inlineStr">
        <is>
          <t>Autovettura aziendale ibrida di proprietà</t>
        </is>
      </c>
      <c r="C47" s="3" t="n">
        <v>43602</v>
      </c>
      <c r="D47" s="4" t="n">
        <v>0.25</v>
      </c>
      <c r="E47" s="5" t="n">
        <v>18000</v>
      </c>
      <c r="F47" s="5" t="n">
        <v>0</v>
      </c>
      <c r="G47" s="5" t="n">
        <v>18000</v>
      </c>
      <c r="H47" s="5" t="n">
        <v>11028</v>
      </c>
      <c r="I47" s="5" t="n">
        <v>1164</v>
      </c>
      <c r="J47" s="5" t="n">
        <v>12192</v>
      </c>
      <c r="K47" s="5" t="n">
        <v>5808</v>
      </c>
    </row>
    <row r="48">
      <c r="A48" s="2" t="inlineStr">
        <is>
          <t>Altri beni: autovetture e mezzi di trasporto interni</t>
        </is>
      </c>
      <c r="B48" s="2" t="inlineStr">
        <is>
          <t>Dotazioni e allestimenti delle autovetture aziendali (2022)</t>
        </is>
      </c>
      <c r="C48" s="3" t="n">
        <v>44736</v>
      </c>
      <c r="D48" s="4" t="n">
        <v>0.25</v>
      </c>
      <c r="E48" s="5" t="n">
        <v>1398</v>
      </c>
      <c r="F48" s="5" t="n">
        <v>0</v>
      </c>
      <c r="G48" s="5" t="n">
        <v>1398</v>
      </c>
      <c r="H48" s="5" t="n">
        <v>40</v>
      </c>
      <c r="I48" s="5" t="n">
        <v>90</v>
      </c>
      <c r="J48" s="5" t="n">
        <v>130</v>
      </c>
      <c r="K48" s="5" t="n">
        <v>1268</v>
      </c>
    </row>
    <row r="49">
      <c r="A49" s="2" t="inlineStr">
        <is>
          <t>Altri beni: autovetture e mezzi di trasporto interni</t>
        </is>
      </c>
      <c r="B49" s="2" t="inlineStr">
        <is>
          <t>Dotazioni e allestimenti delle autovetture aziendali (2023)</t>
        </is>
      </c>
      <c r="C49" s="3" t="n">
        <v>45101</v>
      </c>
      <c r="D49" s="4" t="n">
        <v>0.25</v>
      </c>
      <c r="E49" s="5" t="n">
        <v>0</v>
      </c>
      <c r="F49" s="5" t="n">
        <v>1854</v>
      </c>
      <c r="G49" s="5" t="n">
        <v>1854</v>
      </c>
      <c r="H49" s="5" t="n">
        <v>0</v>
      </c>
      <c r="I49" s="5" t="n">
        <v>60</v>
      </c>
      <c r="J49" s="5" t="n">
        <v>60</v>
      </c>
      <c r="K49" s="5" t="n">
        <v>1794</v>
      </c>
    </row>
    <row r="50">
      <c r="A50" s="6" t="inlineStr">
        <is>
          <t>Totale</t>
        </is>
      </c>
      <c r="B50" s="7" t="n"/>
      <c r="C50" s="7" t="n"/>
      <c r="D50" s="7" t="n"/>
      <c r="E50" s="8">
        <f>SUM(E2:E49)</f>
        <v/>
      </c>
      <c r="F50" s="8">
        <f>SUM(F2:F49)</f>
        <v/>
      </c>
      <c r="G50" s="8">
        <f>SUM(G2:G49)</f>
        <v/>
      </c>
      <c r="H50" s="8">
        <f>SUM(H2:H49)</f>
        <v/>
      </c>
      <c r="I50" s="8">
        <f>SUM(I2:I49)</f>
        <v/>
      </c>
      <c r="J50" s="8">
        <f>SUM(J2:J49)</f>
        <v/>
      </c>
      <c r="K50" s="8">
        <f>SUM(K2:K49)</f>
        <v/>
      </c>
    </row>
  </sheetData>
  <autoFilter ref="A1:K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Classe</t>
        </is>
      </c>
      <c r="B1" s="1" t="inlineStr">
        <is>
          <t>Bene</t>
        </is>
      </c>
      <c r="C1" s="1" t="inlineStr">
        <is>
          <t>Acquisto</t>
        </is>
      </c>
      <c r="D1" s="1" t="inlineStr">
        <is>
          <t>Aliquota</t>
        </is>
      </c>
      <c r="E1" s="1" t="inlineStr">
        <is>
          <t>Costo 1/1</t>
        </is>
      </c>
      <c r="F1" s="1" t="inlineStr">
        <is>
          <t>Incrementi</t>
        </is>
      </c>
      <c r="G1" s="1" t="inlineStr">
        <is>
          <t>Costo 31/12</t>
        </is>
      </c>
      <c r="H1" s="1" t="inlineStr">
        <is>
          <t>Fondo 1/1</t>
        </is>
      </c>
      <c r="I1" s="1" t="inlineStr">
        <is>
          <t>Ammortamento</t>
        </is>
      </c>
      <c r="J1" s="1" t="inlineStr">
        <is>
          <t>Fondo 31/12</t>
        </is>
      </c>
      <c r="K1" s="1" t="inlineStr">
        <is>
          <t>Valore netto</t>
        </is>
      </c>
    </row>
    <row r="2">
      <c r="A2" s="2" t="inlineStr">
        <is>
          <t>Costi di sviluppo</t>
        </is>
      </c>
      <c r="B2" s="2" t="inlineStr">
        <is>
          <t>Piattaforma Atlas: motore di stima (versione 1)</t>
        </is>
      </c>
      <c r="C2" s="3" t="n">
        <v>43456</v>
      </c>
      <c r="D2" s="4" t="n">
        <v>0.2</v>
      </c>
      <c r="E2" s="5" t="n">
        <v>29400</v>
      </c>
      <c r="F2" s="5" t="n">
        <v>0</v>
      </c>
      <c r="G2" s="5" t="n">
        <v>29400</v>
      </c>
      <c r="H2" s="5" t="n">
        <v>28571</v>
      </c>
      <c r="I2" s="5" t="n">
        <v>829</v>
      </c>
      <c r="J2" s="5" t="n">
        <v>29400</v>
      </c>
      <c r="K2" s="5" t="n">
        <v>0</v>
      </c>
    </row>
    <row r="3">
      <c r="A3" s="2" t="inlineStr">
        <is>
          <t>Costi di sviluppo</t>
        </is>
      </c>
      <c r="B3" s="2" t="inlineStr">
        <is>
          <t>Piattaforma Atlas: modulo di acquisizione dei documenti</t>
        </is>
      </c>
      <c r="C3" s="3" t="n">
        <v>43821</v>
      </c>
      <c r="D3" s="4" t="n">
        <v>0.2</v>
      </c>
      <c r="E3" s="5" t="n">
        <v>29400</v>
      </c>
      <c r="F3" s="5" t="n">
        <v>0</v>
      </c>
      <c r="G3" s="5" t="n">
        <v>29400</v>
      </c>
      <c r="H3" s="5" t="n">
        <v>22680</v>
      </c>
      <c r="I3" s="5" t="n">
        <v>3418</v>
      </c>
      <c r="J3" s="5" t="n">
        <v>26098</v>
      </c>
      <c r="K3" s="5" t="n">
        <v>3302</v>
      </c>
    </row>
    <row r="4">
      <c r="A4" s="2" t="inlineStr">
        <is>
          <t>Costi di sviluppo</t>
        </is>
      </c>
      <c r="B4" s="2" t="inlineStr">
        <is>
          <t>Piattaforma Atlas: archivio delle regole dei bandi</t>
        </is>
      </c>
      <c r="C4" s="3" t="n">
        <v>44187</v>
      </c>
      <c r="D4" s="4" t="n">
        <v>0.2</v>
      </c>
      <c r="E4" s="5" t="n">
        <v>24500</v>
      </c>
      <c r="F4" s="5" t="n">
        <v>0</v>
      </c>
      <c r="G4" s="5" t="n">
        <v>24500</v>
      </c>
      <c r="H4" s="5" t="n">
        <v>13991</v>
      </c>
      <c r="I4" s="5" t="n">
        <v>2848</v>
      </c>
      <c r="J4" s="5" t="n">
        <v>16839</v>
      </c>
      <c r="K4" s="5" t="n">
        <v>7661</v>
      </c>
    </row>
    <row r="5">
      <c r="A5" s="2" t="inlineStr">
        <is>
          <t>Costi di sviluppo</t>
        </is>
      </c>
      <c r="B5" s="2" t="inlineStr">
        <is>
          <t>Piattaforma Atlas: interfaccia web e reportistica</t>
        </is>
      </c>
      <c r="C5" s="3" t="n">
        <v>44552</v>
      </c>
      <c r="D5" s="4" t="n">
        <v>0.2</v>
      </c>
      <c r="E5" s="5" t="n">
        <v>14700</v>
      </c>
      <c r="F5" s="5" t="n">
        <v>0</v>
      </c>
      <c r="G5" s="5" t="n">
        <v>14700</v>
      </c>
      <c r="H5" s="5" t="n">
        <v>5449</v>
      </c>
      <c r="I5" s="5" t="n">
        <v>1709</v>
      </c>
      <c r="J5" s="5" t="n">
        <v>7158</v>
      </c>
      <c r="K5" s="5" t="n">
        <v>7542</v>
      </c>
    </row>
    <row r="6">
      <c r="A6" s="2" t="inlineStr">
        <is>
          <t>Costi di sviluppo</t>
        </is>
      </c>
      <c r="B6" s="2" t="inlineStr">
        <is>
          <t>Piattaforma Atlas: miglioramento del motore di stima</t>
        </is>
      </c>
      <c r="C6" s="3" t="n">
        <v>44917</v>
      </c>
      <c r="D6" s="4" t="n">
        <v>0.2</v>
      </c>
      <c r="E6" s="5" t="n">
        <v>10296</v>
      </c>
      <c r="F6" s="5" t="n">
        <v>0</v>
      </c>
      <c r="G6" s="5" t="n">
        <v>10296</v>
      </c>
      <c r="H6" s="5" t="n">
        <v>1338</v>
      </c>
      <c r="I6" s="5" t="n">
        <v>1197</v>
      </c>
      <c r="J6" s="5" t="n">
        <v>2535</v>
      </c>
      <c r="K6" s="5" t="n">
        <v>7761</v>
      </c>
    </row>
    <row r="7">
      <c r="A7" s="2" t="inlineStr">
        <is>
          <t>Costi di sviluppo</t>
        </is>
      </c>
      <c r="B7" s="2" t="inlineStr">
        <is>
          <t>Piattaforma Atlas: motore di calcolo deterministico</t>
        </is>
      </c>
      <c r="C7" s="3" t="n">
        <v>45282</v>
      </c>
      <c r="D7" s="4" t="n">
        <v>0.2</v>
      </c>
      <c r="E7" s="5" t="n">
        <v>21024</v>
      </c>
      <c r="F7" s="5" t="n">
        <v>0</v>
      </c>
      <c r="G7" s="5" t="n">
        <v>21024</v>
      </c>
      <c r="H7" s="5" t="n">
        <v>941</v>
      </c>
      <c r="I7" s="5" t="n">
        <v>2444</v>
      </c>
      <c r="J7" s="5" t="n">
        <v>3385</v>
      </c>
      <c r="K7" s="5" t="n">
        <v>17639</v>
      </c>
    </row>
    <row r="8">
      <c r="A8" s="2" t="inlineStr">
        <is>
          <t>Costi di sviluppo</t>
        </is>
      </c>
      <c r="B8" s="2" t="inlineStr">
        <is>
          <t>Piattaforma Atlas: API e integrazioni verso i gestionali</t>
        </is>
      </c>
      <c r="C8" s="3" t="n">
        <v>45648</v>
      </c>
      <c r="D8" s="4" t="n">
        <v>0.2</v>
      </c>
      <c r="E8" s="5" t="n">
        <v>0</v>
      </c>
      <c r="F8" s="5" t="n">
        <v>24336</v>
      </c>
      <c r="G8" s="5" t="n">
        <v>24336</v>
      </c>
      <c r="H8" s="5" t="n">
        <v>0</v>
      </c>
      <c r="I8" s="5" t="n">
        <v>1415</v>
      </c>
      <c r="J8" s="5" t="n">
        <v>1415</v>
      </c>
      <c r="K8" s="5" t="n">
        <v>22921</v>
      </c>
    </row>
    <row r="9">
      <c r="A9" s="2" t="inlineStr">
        <is>
          <t>Diritti di utilizzazione di opere dell'ingegno (software applicativo)</t>
        </is>
      </c>
      <c r="B9" s="2" t="inlineStr">
        <is>
          <t>Licenza perpetua ambiente di modellazione UML e CAD</t>
        </is>
      </c>
      <c r="C9" s="3" t="n">
        <v>42819</v>
      </c>
      <c r="D9" s="4" t="n">
        <v>0.33</v>
      </c>
      <c r="E9" s="5" t="n">
        <v>7700</v>
      </c>
      <c r="F9" s="5" t="n">
        <v>0</v>
      </c>
      <c r="G9" s="5" t="n">
        <v>7700</v>
      </c>
      <c r="H9" s="5" t="n">
        <v>7051</v>
      </c>
      <c r="I9" s="5" t="n">
        <v>649</v>
      </c>
      <c r="J9" s="5" t="n">
        <v>7700</v>
      </c>
      <c r="K9" s="5" t="n">
        <v>0</v>
      </c>
    </row>
    <row r="10">
      <c r="A10" s="2" t="inlineStr">
        <is>
          <t>Diritti di utilizzazione di opere dell'ingegno (software applicativo)</t>
        </is>
      </c>
      <c r="B10" s="2" t="inlineStr">
        <is>
          <t>Software di gestione progetti e ticketing (licenza perpetua)</t>
        </is>
      </c>
      <c r="C10" s="3" t="n">
        <v>43275</v>
      </c>
      <c r="D10" s="4" t="n">
        <v>0.33</v>
      </c>
      <c r="E10" s="5" t="n">
        <v>8800</v>
      </c>
      <c r="F10" s="5" t="n">
        <v>0</v>
      </c>
      <c r="G10" s="5" t="n">
        <v>8800</v>
      </c>
      <c r="H10" s="5" t="n">
        <v>8058</v>
      </c>
      <c r="I10" s="5" t="n">
        <v>742</v>
      </c>
      <c r="J10" s="5" t="n">
        <v>8800</v>
      </c>
      <c r="K10" s="5" t="n">
        <v>0</v>
      </c>
    </row>
    <row r="11">
      <c r="A11" s="2" t="inlineStr">
        <is>
          <t>Diritti di utilizzazione di opere dell'ingegno (software applicativo)</t>
        </is>
      </c>
      <c r="B11" s="2" t="inlineStr">
        <is>
          <t>Software di business intelligence (licenza perpetua)</t>
        </is>
      </c>
      <c r="C11" s="3" t="n">
        <v>44097</v>
      </c>
      <c r="D11" s="4" t="n">
        <v>0.33</v>
      </c>
      <c r="E11" s="5" t="n">
        <v>5500</v>
      </c>
      <c r="F11" s="5" t="n">
        <v>0</v>
      </c>
      <c r="G11" s="5" t="n">
        <v>5500</v>
      </c>
      <c r="H11" s="5" t="n">
        <v>3597</v>
      </c>
      <c r="I11" s="5" t="n">
        <v>863</v>
      </c>
      <c r="J11" s="5" t="n">
        <v>4460</v>
      </c>
      <c r="K11" s="5" t="n">
        <v>1040</v>
      </c>
    </row>
    <row r="12">
      <c r="A12" s="2" t="inlineStr">
        <is>
          <t>Diritti di utilizzazione di opere dell'ingegno (software applicativo)</t>
        </is>
      </c>
      <c r="B12" s="2" t="inlineStr">
        <is>
          <t>Software di contabilità e gestione paghe (licenza)</t>
        </is>
      </c>
      <c r="C12" s="3" t="n">
        <v>44610</v>
      </c>
      <c r="D12" s="4" t="n">
        <v>0.33</v>
      </c>
      <c r="E12" s="5" t="n">
        <v>2574</v>
      </c>
      <c r="F12" s="5" t="n">
        <v>0</v>
      </c>
      <c r="G12" s="5" t="n">
        <v>2574</v>
      </c>
      <c r="H12" s="5" t="n">
        <v>420</v>
      </c>
      <c r="I12" s="5" t="n">
        <v>404</v>
      </c>
      <c r="J12" s="5" t="n">
        <v>824</v>
      </c>
      <c r="K12" s="5" t="n">
        <v>1750</v>
      </c>
    </row>
    <row r="13">
      <c r="A13" s="2" t="inlineStr">
        <is>
          <t>Diritti di utilizzazione di opere dell'ingegno (software applicativo)</t>
        </is>
      </c>
      <c r="B13" s="2" t="inlineStr">
        <is>
          <t>Software di gestione documentale e firma digitale (licenza)</t>
        </is>
      </c>
      <c r="C13" s="3" t="n">
        <v>45063</v>
      </c>
      <c r="D13" s="4" t="n">
        <v>0.33</v>
      </c>
      <c r="E13" s="5" t="n">
        <v>5256</v>
      </c>
      <c r="F13" s="5" t="n">
        <v>0</v>
      </c>
      <c r="G13" s="5" t="n">
        <v>5256</v>
      </c>
      <c r="H13" s="5" t="n">
        <v>294</v>
      </c>
      <c r="I13" s="5" t="n">
        <v>825</v>
      </c>
      <c r="J13" s="5" t="n">
        <v>1119</v>
      </c>
      <c r="K13" s="5" t="n">
        <v>4137</v>
      </c>
    </row>
    <row r="14">
      <c r="A14" s="2" t="inlineStr">
        <is>
          <t>Diritti di utilizzazione di opere dell'ingegno (software applicativo)</t>
        </is>
      </c>
      <c r="B14" s="2" t="inlineStr">
        <is>
          <t>Software di analisi statica del codice (licenza perpetua)</t>
        </is>
      </c>
      <c r="C14" s="3" t="n">
        <v>45392</v>
      </c>
      <c r="D14" s="4" t="n">
        <v>0.33</v>
      </c>
      <c r="E14" s="5" t="n">
        <v>0</v>
      </c>
      <c r="F14" s="5" t="n">
        <v>6084</v>
      </c>
      <c r="G14" s="5" t="n">
        <v>6084</v>
      </c>
      <c r="H14" s="5" t="n">
        <v>0</v>
      </c>
      <c r="I14" s="5" t="n">
        <v>477</v>
      </c>
      <c r="J14" s="5" t="n">
        <v>477</v>
      </c>
      <c r="K14" s="5" t="n">
        <v>5607</v>
      </c>
    </row>
    <row r="15">
      <c r="A15" s="2" t="inlineStr">
        <is>
          <t>Concessioni, licenze, marchi e diritti simili</t>
        </is>
      </c>
      <c r="B15" s="2" t="inlineStr">
        <is>
          <t>Marchio denominativo ATLAS: registrazione presso l'UIBM</t>
        </is>
      </c>
      <c r="C15" s="3" t="n">
        <v>43565</v>
      </c>
      <c r="D15" s="4" t="n">
        <v>0.2</v>
      </c>
      <c r="E15" s="5" t="n">
        <v>3100</v>
      </c>
      <c r="F15" s="5" t="n">
        <v>0</v>
      </c>
      <c r="G15" s="5" t="n">
        <v>3100</v>
      </c>
      <c r="H15" s="5" t="n">
        <v>2644</v>
      </c>
      <c r="I15" s="5" t="n">
        <v>285</v>
      </c>
      <c r="J15" s="5" t="n">
        <v>2929</v>
      </c>
      <c r="K15" s="5" t="n">
        <v>171</v>
      </c>
    </row>
    <row r="16">
      <c r="A16" s="2" t="inlineStr">
        <is>
          <t>Concessioni, licenze, marchi e diritti simili</t>
        </is>
      </c>
      <c r="B16" s="2" t="inlineStr">
        <is>
          <t>Marchio figurativo Meridiana: registrazione e rinnovo</t>
        </is>
      </c>
      <c r="C16" s="3" t="n">
        <v>44006</v>
      </c>
      <c r="D16" s="4" t="n">
        <v>0.2</v>
      </c>
      <c r="E16" s="5" t="n">
        <v>3100</v>
      </c>
      <c r="F16" s="5" t="n">
        <v>0</v>
      </c>
      <c r="G16" s="5" t="n">
        <v>3100</v>
      </c>
      <c r="H16" s="5" t="n">
        <v>1923</v>
      </c>
      <c r="I16" s="5" t="n">
        <v>285</v>
      </c>
      <c r="J16" s="5" t="n">
        <v>2208</v>
      </c>
      <c r="K16" s="5" t="n">
        <v>892</v>
      </c>
    </row>
    <row r="17">
      <c r="A17" s="2" t="inlineStr">
        <is>
          <t>Concessioni, licenze, marchi e diritti simili</t>
        </is>
      </c>
      <c r="B17" s="2" t="inlineStr">
        <is>
          <t>Certificazione ISO 9001: costi di prima certificazione</t>
        </is>
      </c>
      <c r="C17" s="3" t="n">
        <v>44842</v>
      </c>
      <c r="D17" s="4" t="n">
        <v>0.2</v>
      </c>
      <c r="E17" s="5" t="n">
        <v>572</v>
      </c>
      <c r="F17" s="5" t="n">
        <v>0</v>
      </c>
      <c r="G17" s="5" t="n">
        <v>572</v>
      </c>
      <c r="H17" s="5" t="n">
        <v>69</v>
      </c>
      <c r="I17" s="5" t="n">
        <v>53</v>
      </c>
      <c r="J17" s="5" t="n">
        <v>122</v>
      </c>
      <c r="K17" s="5" t="n">
        <v>450</v>
      </c>
    </row>
    <row r="18">
      <c r="A18" s="2" t="inlineStr">
        <is>
          <t>Concessioni, licenze, marchi e diritti simili</t>
        </is>
      </c>
      <c r="B18" s="2" t="inlineStr">
        <is>
          <t>Certificazione ISO/IEC 27001: costi di prima certificazione</t>
        </is>
      </c>
      <c r="C18" s="3" t="n">
        <v>45192</v>
      </c>
      <c r="D18" s="4" t="n">
        <v>0.2</v>
      </c>
      <c r="E18" s="5" t="n">
        <v>1168</v>
      </c>
      <c r="F18" s="5" t="n">
        <v>0</v>
      </c>
      <c r="G18" s="5" t="n">
        <v>1168</v>
      </c>
      <c r="H18" s="5" t="n">
        <v>48</v>
      </c>
      <c r="I18" s="5" t="n">
        <v>107</v>
      </c>
      <c r="J18" s="5" t="n">
        <v>155</v>
      </c>
      <c r="K18" s="5" t="n">
        <v>1013</v>
      </c>
    </row>
    <row r="19">
      <c r="A19" s="2" t="inlineStr">
        <is>
          <t>Concessioni, licenze, marchi e diritti simili</t>
        </is>
      </c>
      <c r="B19" s="2" t="inlineStr">
        <is>
          <t>Licenze d'uso di certificati e domini pluriennali</t>
        </is>
      </c>
      <c r="C19" s="3" t="n">
        <v>45376</v>
      </c>
      <c r="D19" s="4" t="n">
        <v>0.2</v>
      </c>
      <c r="E19" s="5" t="n">
        <v>0</v>
      </c>
      <c r="F19" s="5" t="n">
        <v>1352</v>
      </c>
      <c r="G19" s="5" t="n">
        <v>1352</v>
      </c>
      <c r="H19" s="5" t="n">
        <v>0</v>
      </c>
      <c r="I19" s="5" t="n">
        <v>62</v>
      </c>
      <c r="J19" s="5" t="n">
        <v>62</v>
      </c>
      <c r="K19" s="5" t="n">
        <v>1290</v>
      </c>
    </row>
    <row r="20">
      <c r="A20" s="2" t="inlineStr">
        <is>
          <t>Altre immobilizzazioni immateriali (migliorie su beni di terzi)</t>
        </is>
      </c>
      <c r="B20" s="2" t="inlineStr">
        <is>
          <t>Migliorie su beni di terzi: sede legale di via Garibaldi (pareti e impianti)</t>
        </is>
      </c>
      <c r="C20" s="3" t="n">
        <v>42454</v>
      </c>
      <c r="D20" s="4" t="n">
        <v>0.2</v>
      </c>
      <c r="E20" s="5" t="n">
        <v>4500</v>
      </c>
      <c r="F20" s="5" t="n">
        <v>0</v>
      </c>
      <c r="G20" s="5" t="n">
        <v>4500</v>
      </c>
      <c r="H20" s="5" t="n">
        <v>4500</v>
      </c>
      <c r="I20" s="5" t="n">
        <v>0</v>
      </c>
      <c r="J20" s="5" t="n">
        <v>4500</v>
      </c>
      <c r="K20" s="5" t="n">
        <v>0</v>
      </c>
    </row>
    <row r="21">
      <c r="A21" s="2" t="inlineStr">
        <is>
          <t>Altre immobilizzazioni immateriali (migliorie su beni di terzi)</t>
        </is>
      </c>
      <c r="B21" s="2" t="inlineStr">
        <is>
          <t>Migliorie su beni di terzi: sala server e cablaggio dedicato</t>
        </is>
      </c>
      <c r="C21" s="3" t="n">
        <v>43655</v>
      </c>
      <c r="D21" s="4" t="n">
        <v>0.2</v>
      </c>
      <c r="E21" s="5" t="n">
        <v>3000</v>
      </c>
      <c r="F21" s="5" t="n">
        <v>0</v>
      </c>
      <c r="G21" s="5" t="n">
        <v>3000</v>
      </c>
      <c r="H21" s="5" t="n">
        <v>2366</v>
      </c>
      <c r="I21" s="5" t="n">
        <v>252</v>
      </c>
      <c r="J21" s="5" t="n">
        <v>2618</v>
      </c>
      <c r="K21" s="5" t="n">
        <v>382</v>
      </c>
    </row>
    <row r="22">
      <c r="A22" s="2" t="inlineStr">
        <is>
          <t>Altre immobilizzazioni immateriali (migliorie su beni di terzi)</t>
        </is>
      </c>
      <c r="B22" s="2" t="inlineStr">
        <is>
          <t>Migliorie su beni di terzi: unità locale di corso Francia (laboratorio dati)</t>
        </is>
      </c>
      <c r="C22" s="3" t="n">
        <v>44462</v>
      </c>
      <c r="D22" s="4" t="n">
        <v>0.2</v>
      </c>
      <c r="E22" s="5" t="n">
        <v>7500</v>
      </c>
      <c r="F22" s="5" t="n">
        <v>0</v>
      </c>
      <c r="G22" s="5" t="n">
        <v>7500</v>
      </c>
      <c r="H22" s="5" t="n">
        <v>2608</v>
      </c>
      <c r="I22" s="5" t="n">
        <v>631</v>
      </c>
      <c r="J22" s="5" t="n">
        <v>3239</v>
      </c>
      <c r="K22" s="5" t="n">
        <v>4261</v>
      </c>
    </row>
    <row r="23">
      <c r="A23" s="2" t="inlineStr">
        <is>
          <t>Altre immobilizzazioni immateriali (migliorie su beni di terzi)</t>
        </is>
      </c>
      <c r="B23" s="2" t="inlineStr">
        <is>
          <t>Migliorie su beni di terzi: ampliamento sala riunioni</t>
        </is>
      </c>
      <c r="C23" s="3" t="n">
        <v>44736</v>
      </c>
      <c r="D23" s="4" t="n">
        <v>0.2</v>
      </c>
      <c r="E23" s="5" t="n">
        <v>858</v>
      </c>
      <c r="F23" s="5" t="n">
        <v>0</v>
      </c>
      <c r="G23" s="5" t="n">
        <v>858</v>
      </c>
      <c r="H23" s="5" t="n">
        <v>87</v>
      </c>
      <c r="I23" s="5" t="n">
        <v>72</v>
      </c>
      <c r="J23" s="5" t="n">
        <v>159</v>
      </c>
      <c r="K23" s="5" t="n">
        <v>699</v>
      </c>
    </row>
    <row r="24">
      <c r="A24" s="2" t="inlineStr">
        <is>
          <t>Altre immobilizzazioni immateriali (migliorie su beni di terzi)</t>
        </is>
      </c>
      <c r="B24" s="2" t="inlineStr">
        <is>
          <t>Migliorie su beni di terzi: cabina di proiezione e area formazione</t>
        </is>
      </c>
      <c r="C24" s="3" t="n">
        <v>45026</v>
      </c>
      <c r="D24" s="4" t="n">
        <v>0.2</v>
      </c>
      <c r="E24" s="5" t="n">
        <v>1752</v>
      </c>
      <c r="F24" s="5" t="n">
        <v>0</v>
      </c>
      <c r="G24" s="5" t="n">
        <v>1752</v>
      </c>
      <c r="H24" s="5" t="n">
        <v>65</v>
      </c>
      <c r="I24" s="5" t="n">
        <v>148</v>
      </c>
      <c r="J24" s="5" t="n">
        <v>213</v>
      </c>
      <c r="K24" s="5" t="n">
        <v>1539</v>
      </c>
    </row>
    <row r="25">
      <c r="A25" s="2" t="inlineStr">
        <is>
          <t>Altre immobilizzazioni immateriali (migliorie su beni di terzi)</t>
        </is>
      </c>
      <c r="B25" s="2" t="inlineStr">
        <is>
          <t>Migliorie su beni di terzi: illuminazione e insonorizzazione open space</t>
        </is>
      </c>
      <c r="C25" s="3" t="n">
        <v>45520</v>
      </c>
      <c r="D25" s="4" t="n">
        <v>0.2</v>
      </c>
      <c r="E25" s="5" t="n">
        <v>0</v>
      </c>
      <c r="F25" s="5" t="n">
        <v>2028</v>
      </c>
      <c r="G25" s="5" t="n">
        <v>2028</v>
      </c>
      <c r="H25" s="5" t="n">
        <v>0</v>
      </c>
      <c r="I25" s="5" t="n">
        <v>85</v>
      </c>
      <c r="J25" s="5" t="n">
        <v>85</v>
      </c>
      <c r="K25" s="5" t="n">
        <v>1943</v>
      </c>
    </row>
    <row r="26">
      <c r="A26" s="2" t="inlineStr">
        <is>
          <t>Impianti e macchinario (impianti di rete e cablaggio)</t>
        </is>
      </c>
      <c r="B26" s="2" t="inlineStr">
        <is>
          <t>Cablaggio strutturato degli uffici di via Garibaldi</t>
        </is>
      </c>
      <c r="C26" s="3" t="n">
        <v>42835</v>
      </c>
      <c r="D26" s="4" t="n">
        <v>0.15</v>
      </c>
      <c r="E26" s="5" t="n">
        <v>9800</v>
      </c>
      <c r="F26" s="5" t="n">
        <v>0</v>
      </c>
      <c r="G26" s="5" t="n">
        <v>9800</v>
      </c>
      <c r="H26" s="5" t="n">
        <v>9376</v>
      </c>
      <c r="I26" s="5" t="n">
        <v>424</v>
      </c>
      <c r="J26" s="5" t="n">
        <v>9800</v>
      </c>
      <c r="K26" s="5" t="n">
        <v>0</v>
      </c>
    </row>
    <row r="27">
      <c r="A27" s="2" t="inlineStr">
        <is>
          <t>Impianti e macchinario (impianti di rete e cablaggio)</t>
        </is>
      </c>
      <c r="B27" s="2" t="inlineStr">
        <is>
          <t>Impianto di condizionamento della sede</t>
        </is>
      </c>
      <c r="C27" s="3" t="n">
        <v>43275</v>
      </c>
      <c r="D27" s="4" t="n">
        <v>0.15</v>
      </c>
      <c r="E27" s="5" t="n">
        <v>8400</v>
      </c>
      <c r="F27" s="5" t="n">
        <v>0</v>
      </c>
      <c r="G27" s="5" t="n">
        <v>8400</v>
      </c>
      <c r="H27" s="5" t="n">
        <v>6707</v>
      </c>
      <c r="I27" s="5" t="n">
        <v>988</v>
      </c>
      <c r="J27" s="5" t="n">
        <v>7695</v>
      </c>
      <c r="K27" s="5" t="n">
        <v>705</v>
      </c>
    </row>
    <row r="28">
      <c r="A28" s="2" t="inlineStr">
        <is>
          <t>Impianti e macchinario (impianti di rete e cablaggio)</t>
        </is>
      </c>
      <c r="B28" s="2" t="inlineStr">
        <is>
          <t>Impianto di videosorveglianza e controllo accessi</t>
        </is>
      </c>
      <c r="C28" s="3" t="n">
        <v>44112</v>
      </c>
      <c r="D28" s="4" t="n">
        <v>0.15</v>
      </c>
      <c r="E28" s="5" t="n">
        <v>5600</v>
      </c>
      <c r="F28" s="5" t="n">
        <v>0</v>
      </c>
      <c r="G28" s="5" t="n">
        <v>5600</v>
      </c>
      <c r="H28" s="5" t="n">
        <v>2701</v>
      </c>
      <c r="I28" s="5" t="n">
        <v>658</v>
      </c>
      <c r="J28" s="5" t="n">
        <v>3359</v>
      </c>
      <c r="K28" s="5" t="n">
        <v>2241</v>
      </c>
    </row>
    <row r="29">
      <c r="A29" s="2" t="inlineStr">
        <is>
          <t>Impianti e macchinario (impianti di rete e cablaggio)</t>
        </is>
      </c>
      <c r="B29" s="2" t="inlineStr">
        <is>
          <t>Impianto elettrico di continuità (UPS) della sala server</t>
        </is>
      </c>
      <c r="C29" s="3" t="n">
        <v>44280</v>
      </c>
      <c r="D29" s="4" t="n">
        <v>0.15</v>
      </c>
      <c r="E29" s="5" t="n">
        <v>4200</v>
      </c>
      <c r="F29" s="5" t="n">
        <v>0</v>
      </c>
      <c r="G29" s="5" t="n">
        <v>4200</v>
      </c>
      <c r="H29" s="5" t="n">
        <v>1361</v>
      </c>
      <c r="I29" s="5" t="n">
        <v>494</v>
      </c>
      <c r="J29" s="5" t="n">
        <v>1855</v>
      </c>
      <c r="K29" s="5" t="n">
        <v>2345</v>
      </c>
    </row>
    <row r="30">
      <c r="A30" s="2" t="inlineStr">
        <is>
          <t>Impianti e macchinario (impianti di rete e cablaggio)</t>
        </is>
      </c>
      <c r="B30" s="2" t="inlineStr">
        <is>
          <t>Impianto di rete wireless degli uffici</t>
        </is>
      </c>
      <c r="C30" s="3" t="n">
        <v>44698</v>
      </c>
      <c r="D30" s="4" t="n">
        <v>0.15</v>
      </c>
      <c r="E30" s="5" t="n">
        <v>2796</v>
      </c>
      <c r="F30" s="5" t="n">
        <v>0</v>
      </c>
      <c r="G30" s="5" t="n">
        <v>2796</v>
      </c>
      <c r="H30" s="5" t="n">
        <v>354</v>
      </c>
      <c r="I30" s="5" t="n">
        <v>328</v>
      </c>
      <c r="J30" s="5" t="n">
        <v>682</v>
      </c>
      <c r="K30" s="5" t="n">
        <v>2114</v>
      </c>
    </row>
    <row r="31">
      <c r="A31" s="2" t="inlineStr">
        <is>
          <t>Impianti e macchinario (impianti di rete e cablaggio)</t>
        </is>
      </c>
      <c r="B31" s="2" t="inlineStr">
        <is>
          <t>Impianto di rilevazione presenze e domotica leggera</t>
        </is>
      </c>
      <c r="C31" s="3" t="n">
        <v>45192</v>
      </c>
      <c r="D31" s="4" t="n">
        <v>0.15</v>
      </c>
      <c r="E31" s="5" t="n">
        <v>3708</v>
      </c>
      <c r="F31" s="5" t="n">
        <v>0</v>
      </c>
      <c r="G31" s="5" t="n">
        <v>3708</v>
      </c>
      <c r="H31" s="5" t="n">
        <v>162</v>
      </c>
      <c r="I31" s="5" t="n">
        <v>437</v>
      </c>
      <c r="J31" s="5" t="n">
        <v>599</v>
      </c>
      <c r="K31" s="5" t="n">
        <v>3109</v>
      </c>
    </row>
    <row r="32">
      <c r="A32" s="2" t="inlineStr">
        <is>
          <t>Impianti e macchinario (impianti di rete e cablaggio)</t>
        </is>
      </c>
      <c r="B32" s="2" t="inlineStr">
        <is>
          <t>Impianto di audio-videoconferenza della sala riunioni</t>
        </is>
      </c>
      <c r="C32" s="3" t="n">
        <v>45482</v>
      </c>
      <c r="D32" s="4" t="n">
        <v>0.15</v>
      </c>
      <c r="E32" s="5" t="n">
        <v>0</v>
      </c>
      <c r="F32" s="5" t="n">
        <v>4392</v>
      </c>
      <c r="G32" s="5" t="n">
        <v>4392</v>
      </c>
      <c r="H32" s="5" t="n">
        <v>0</v>
      </c>
      <c r="I32" s="5" t="n">
        <v>259</v>
      </c>
      <c r="J32" s="5" t="n">
        <v>259</v>
      </c>
      <c r="K32" s="5" t="n">
        <v>4133</v>
      </c>
    </row>
    <row r="33">
      <c r="A33" s="2" t="inlineStr">
        <is>
          <t>Attrezzature industriali e commerciali (server e apparati di test)</t>
        </is>
      </c>
      <c r="B33" s="2" t="inlineStr">
        <is>
          <t>Server di produzione (cluster di tre nodi)</t>
        </is>
      </c>
      <c r="C33" s="3" t="n">
        <v>43237</v>
      </c>
      <c r="D33" s="4" t="n">
        <v>0.2</v>
      </c>
      <c r="E33" s="5" t="n">
        <v>18300</v>
      </c>
      <c r="F33" s="5" t="n">
        <v>0</v>
      </c>
      <c r="G33" s="5" t="n">
        <v>18300</v>
      </c>
      <c r="H33" s="5" t="n">
        <v>18300</v>
      </c>
      <c r="I33" s="5" t="n">
        <v>0</v>
      </c>
      <c r="J33" s="5" t="n">
        <v>18300</v>
      </c>
      <c r="K33" s="5" t="n">
        <v>0</v>
      </c>
    </row>
    <row r="34">
      <c r="A34" s="2" t="inlineStr">
        <is>
          <t>Attrezzature industriali e commerciali (server e apparati di test)</t>
        </is>
      </c>
      <c r="B34" s="2" t="inlineStr">
        <is>
          <t>Server di test e integrazione</t>
        </is>
      </c>
      <c r="C34" s="3" t="n">
        <v>43731</v>
      </c>
      <c r="D34" s="4" t="n">
        <v>0.2</v>
      </c>
      <c r="E34" s="5" t="n">
        <v>12200</v>
      </c>
      <c r="F34" s="5" t="n">
        <v>0</v>
      </c>
      <c r="G34" s="5" t="n">
        <v>12200</v>
      </c>
      <c r="H34" s="5" t="n">
        <v>11017</v>
      </c>
      <c r="I34" s="5" t="n">
        <v>1183</v>
      </c>
      <c r="J34" s="5" t="n">
        <v>12200</v>
      </c>
      <c r="K34" s="5" t="n">
        <v>0</v>
      </c>
    </row>
    <row r="35">
      <c r="A35" s="2" t="inlineStr">
        <is>
          <t>Attrezzature industriali e commerciali (server e apparati di test)</t>
        </is>
      </c>
      <c r="B35" s="2" t="inlineStr">
        <is>
          <t>Apparati di rete e firewall di perimetro</t>
        </is>
      </c>
      <c r="C35" s="3" t="n">
        <v>43879</v>
      </c>
      <c r="D35" s="4" t="n">
        <v>0.2</v>
      </c>
      <c r="E35" s="5" t="n">
        <v>12200</v>
      </c>
      <c r="F35" s="5" t="n">
        <v>0</v>
      </c>
      <c r="G35" s="5" t="n">
        <v>12200</v>
      </c>
      <c r="H35" s="5" t="n">
        <v>8137</v>
      </c>
      <c r="I35" s="5" t="n">
        <v>1550</v>
      </c>
      <c r="J35" s="5" t="n">
        <v>9687</v>
      </c>
      <c r="K35" s="5" t="n">
        <v>2513</v>
      </c>
    </row>
    <row r="36">
      <c r="A36" s="2" t="inlineStr">
        <is>
          <t>Attrezzature industriali e commerciali (server e apparati di test)</t>
        </is>
      </c>
      <c r="B36" s="2" t="inlineStr">
        <is>
          <t>Sistema di storage e backup</t>
        </is>
      </c>
      <c r="C36" s="3" t="n">
        <v>44515</v>
      </c>
      <c r="D36" s="4" t="n">
        <v>0.2</v>
      </c>
      <c r="E36" s="5" t="n">
        <v>18300</v>
      </c>
      <c r="F36" s="5" t="n">
        <v>0</v>
      </c>
      <c r="G36" s="5" t="n">
        <v>18300</v>
      </c>
      <c r="H36" s="5" t="n">
        <v>7885</v>
      </c>
      <c r="I36" s="5" t="n">
        <v>2325</v>
      </c>
      <c r="J36" s="5" t="n">
        <v>10210</v>
      </c>
      <c r="K36" s="5" t="n">
        <v>8090</v>
      </c>
    </row>
    <row r="37">
      <c r="A37" s="2" t="inlineStr">
        <is>
          <t>Attrezzature industriali e commerciali (server e apparati di test)</t>
        </is>
      </c>
      <c r="B37" s="2" t="inlineStr">
        <is>
          <t>Parco dispositivi di test mobile (smartphone e tablet)</t>
        </is>
      </c>
      <c r="C37" s="3" t="n">
        <v>44645</v>
      </c>
      <c r="D37" s="4" t="n">
        <v>0.2</v>
      </c>
      <c r="E37" s="5" t="n">
        <v>6058</v>
      </c>
      <c r="F37" s="5" t="n">
        <v>0</v>
      </c>
      <c r="G37" s="5" t="n">
        <v>6058</v>
      </c>
      <c r="H37" s="5" t="n">
        <v>930</v>
      </c>
      <c r="I37" s="5" t="n">
        <v>769</v>
      </c>
      <c r="J37" s="5" t="n">
        <v>1699</v>
      </c>
      <c r="K37" s="5" t="n">
        <v>4359</v>
      </c>
    </row>
    <row r="38">
      <c r="A38" s="2" t="inlineStr">
        <is>
          <t>Attrezzature industriali e commerciali (server e apparati di test)</t>
        </is>
      </c>
      <c r="B38" s="2" t="inlineStr">
        <is>
          <t>Nodo aggiuntivo di calcolo per la piattaforma</t>
        </is>
      </c>
      <c r="C38" s="3" t="n">
        <v>45101</v>
      </c>
      <c r="D38" s="4" t="n">
        <v>0.2</v>
      </c>
      <c r="E38" s="5" t="n">
        <v>8034</v>
      </c>
      <c r="F38" s="5" t="n">
        <v>0</v>
      </c>
      <c r="G38" s="5" t="n">
        <v>8034</v>
      </c>
      <c r="H38" s="5" t="n">
        <v>450</v>
      </c>
      <c r="I38" s="5" t="n">
        <v>1021</v>
      </c>
      <c r="J38" s="5" t="n">
        <v>1471</v>
      </c>
      <c r="K38" s="5" t="n">
        <v>6563</v>
      </c>
    </row>
    <row r="39">
      <c r="A39" s="2" t="inlineStr">
        <is>
          <t>Attrezzature industriali e commerciali (server e apparati di test)</t>
        </is>
      </c>
      <c r="B39" s="2" t="inlineStr">
        <is>
          <t>Apparati di laboratorio dati di corso Francia</t>
        </is>
      </c>
      <c r="C39" s="3" t="n">
        <v>45573</v>
      </c>
      <c r="D39" s="4" t="n">
        <v>0.2</v>
      </c>
      <c r="E39" s="5" t="n">
        <v>0</v>
      </c>
      <c r="F39" s="5" t="n">
        <v>9516</v>
      </c>
      <c r="G39" s="5" t="n">
        <v>9516</v>
      </c>
      <c r="H39" s="5" t="n">
        <v>0</v>
      </c>
      <c r="I39" s="5" t="n">
        <v>604</v>
      </c>
      <c r="J39" s="5" t="n">
        <v>604</v>
      </c>
      <c r="K39" s="5" t="n">
        <v>8912</v>
      </c>
    </row>
    <row r="40">
      <c r="A40" s="2" t="inlineStr">
        <is>
          <t>Altri beni: macchine d'ufficio elettroniche</t>
        </is>
      </c>
      <c r="B40" s="2" t="inlineStr">
        <is>
          <t>Workstation di sviluppo (primo lotto)</t>
        </is>
      </c>
      <c r="C40" s="3" t="n">
        <v>42872</v>
      </c>
      <c r="D40" s="4" t="n">
        <v>0.2</v>
      </c>
      <c r="E40" s="5" t="n">
        <v>16800</v>
      </c>
      <c r="F40" s="5" t="n">
        <v>0</v>
      </c>
      <c r="G40" s="5" t="n">
        <v>16800</v>
      </c>
      <c r="H40" s="5" t="n">
        <v>16800</v>
      </c>
      <c r="I40" s="5" t="n">
        <v>0</v>
      </c>
      <c r="J40" s="5" t="n">
        <v>16800</v>
      </c>
      <c r="K40" s="5" t="n">
        <v>0</v>
      </c>
    </row>
    <row r="41">
      <c r="A41" s="2" t="inlineStr">
        <is>
          <t>Altri beni: macchine d'ufficio elettroniche</t>
        </is>
      </c>
      <c r="B41" s="2" t="inlineStr">
        <is>
          <t>Notebook di sviluppo (secondo lotto)</t>
        </is>
      </c>
      <c r="C41" s="3" t="n">
        <v>43549</v>
      </c>
      <c r="D41" s="4" t="n">
        <v>0.2</v>
      </c>
      <c r="E41" s="5" t="n">
        <v>25200</v>
      </c>
      <c r="F41" s="5" t="n">
        <v>0</v>
      </c>
      <c r="G41" s="5" t="n">
        <v>25200</v>
      </c>
      <c r="H41" s="5" t="n">
        <v>25200</v>
      </c>
      <c r="I41" s="5" t="n">
        <v>0</v>
      </c>
      <c r="J41" s="5" t="n">
        <v>25200</v>
      </c>
      <c r="K41" s="5" t="n">
        <v>0</v>
      </c>
    </row>
    <row r="42">
      <c r="A42" s="2" t="inlineStr">
        <is>
          <t>Altri beni: macchine d'ufficio elettroniche</t>
        </is>
      </c>
      <c r="B42" s="2" t="inlineStr">
        <is>
          <t>Monitor 27 pollici (lotto)</t>
        </is>
      </c>
      <c r="C42" s="3" t="n">
        <v>44097</v>
      </c>
      <c r="D42" s="4" t="n">
        <v>0.2</v>
      </c>
      <c r="E42" s="5" t="n">
        <v>12600</v>
      </c>
      <c r="F42" s="5" t="n">
        <v>0</v>
      </c>
      <c r="G42" s="5" t="n">
        <v>12600</v>
      </c>
      <c r="H42" s="5" t="n">
        <v>12515</v>
      </c>
      <c r="I42" s="5" t="n">
        <v>85</v>
      </c>
      <c r="J42" s="5" t="n">
        <v>12600</v>
      </c>
      <c r="K42" s="5" t="n">
        <v>0</v>
      </c>
    </row>
    <row r="43">
      <c r="A43" s="2" t="inlineStr">
        <is>
          <t>Altri beni: macchine d'ufficio elettroniche</t>
        </is>
      </c>
      <c r="B43" s="2" t="inlineStr">
        <is>
          <t>Stazione di lavoro grafica per la progettazione UX</t>
        </is>
      </c>
      <c r="C43" s="3" t="n">
        <v>44371</v>
      </c>
      <c r="D43" s="4" t="n">
        <v>0.2</v>
      </c>
      <c r="E43" s="5" t="n">
        <v>12600</v>
      </c>
      <c r="F43" s="5" t="n">
        <v>0</v>
      </c>
      <c r="G43" s="5" t="n">
        <v>12600</v>
      </c>
      <c r="H43" s="5" t="n">
        <v>8068</v>
      </c>
      <c r="I43" s="5" t="n">
        <v>2365</v>
      </c>
      <c r="J43" s="5" t="n">
        <v>10433</v>
      </c>
      <c r="K43" s="5" t="n">
        <v>2167</v>
      </c>
    </row>
    <row r="44">
      <c r="A44" s="2" t="inlineStr">
        <is>
          <t>Altri beni: macchine d'ufficio elettroniche</t>
        </is>
      </c>
      <c r="B44" s="2" t="inlineStr">
        <is>
          <t>Notebook di sviluppo (terzo lotto)</t>
        </is>
      </c>
      <c r="C44" s="3" t="n">
        <v>44477</v>
      </c>
      <c r="D44" s="4" t="n">
        <v>0.2</v>
      </c>
      <c r="E44" s="5" t="n">
        <v>16800</v>
      </c>
      <c r="F44" s="5" t="n">
        <v>0</v>
      </c>
      <c r="G44" s="5" t="n">
        <v>16800</v>
      </c>
      <c r="H44" s="5" t="n">
        <v>10759</v>
      </c>
      <c r="I44" s="5" t="n">
        <v>3154</v>
      </c>
      <c r="J44" s="5" t="n">
        <v>13913</v>
      </c>
      <c r="K44" s="5" t="n">
        <v>2887</v>
      </c>
    </row>
    <row r="45">
      <c r="A45" s="2" t="inlineStr">
        <is>
          <t>Altri beni: macchine d'ufficio elettroniche</t>
        </is>
      </c>
      <c r="B45" s="2" t="inlineStr">
        <is>
          <t>Workstation di sviluppo e notebook (lotto 2022)</t>
        </is>
      </c>
      <c r="C45" s="3" t="n">
        <v>44661</v>
      </c>
      <c r="D45" s="4" t="n">
        <v>0.2</v>
      </c>
      <c r="E45" s="5" t="n">
        <v>10252</v>
      </c>
      <c r="F45" s="5" t="n">
        <v>0</v>
      </c>
      <c r="G45" s="5" t="n">
        <v>10252</v>
      </c>
      <c r="H45" s="5" t="n">
        <v>2273</v>
      </c>
      <c r="I45" s="5" t="n">
        <v>1924</v>
      </c>
      <c r="J45" s="5" t="n">
        <v>4197</v>
      </c>
      <c r="K45" s="5" t="n">
        <v>6055</v>
      </c>
    </row>
    <row r="46">
      <c r="A46" s="2" t="inlineStr">
        <is>
          <t>Altri beni: macchine d'ufficio elettroniche</t>
        </is>
      </c>
      <c r="B46" s="2" t="inlineStr">
        <is>
          <t>Notebook e dispositivi per i nuovi assunti (lotto 2023)</t>
        </is>
      </c>
      <c r="C46" s="3" t="n">
        <v>45154</v>
      </c>
      <c r="D46" s="4" t="n">
        <v>0.2</v>
      </c>
      <c r="E46" s="5" t="n">
        <v>13596</v>
      </c>
      <c r="F46" s="5" t="n">
        <v>0</v>
      </c>
      <c r="G46" s="5" t="n">
        <v>13596</v>
      </c>
      <c r="H46" s="5" t="n">
        <v>1059</v>
      </c>
      <c r="I46" s="5" t="n">
        <v>2553</v>
      </c>
      <c r="J46" s="5" t="n">
        <v>3612</v>
      </c>
      <c r="K46" s="5" t="n">
        <v>9984</v>
      </c>
    </row>
    <row r="47">
      <c r="A47" s="2" t="inlineStr">
        <is>
          <t>Altri beni: macchine d'ufficio elettroniche</t>
        </is>
      </c>
      <c r="B47" s="2" t="inlineStr">
        <is>
          <t>Notebook, monitor e dock per i nuovi assunti (lotto 2024)</t>
        </is>
      </c>
      <c r="C47" s="3" t="n">
        <v>45429</v>
      </c>
      <c r="D47" s="4" t="n">
        <v>0.2</v>
      </c>
      <c r="E47" s="5" t="n">
        <v>0</v>
      </c>
      <c r="F47" s="5" t="n">
        <v>16104</v>
      </c>
      <c r="G47" s="5" t="n">
        <v>16104</v>
      </c>
      <c r="H47" s="5" t="n">
        <v>0</v>
      </c>
      <c r="I47" s="5" t="n">
        <v>1511</v>
      </c>
      <c r="J47" s="5" t="n">
        <v>1511</v>
      </c>
      <c r="K47" s="5" t="n">
        <v>14593</v>
      </c>
    </row>
    <row r="48">
      <c r="A48" s="2" t="inlineStr">
        <is>
          <t>Altri beni: mobili e arredi</t>
        </is>
      </c>
      <c r="B48" s="2" t="inlineStr">
        <is>
          <t>Scrivanie operative (lotto iniziale)</t>
        </is>
      </c>
      <c r="C48" s="3" t="n">
        <v>42784</v>
      </c>
      <c r="D48" s="4" t="n">
        <v>0.12</v>
      </c>
      <c r="E48" s="5" t="n">
        <v>11025</v>
      </c>
      <c r="F48" s="5" t="n">
        <v>0</v>
      </c>
      <c r="G48" s="5" t="n">
        <v>11025</v>
      </c>
      <c r="H48" s="5" t="n">
        <v>8375</v>
      </c>
      <c r="I48" s="5" t="n">
        <v>908</v>
      </c>
      <c r="J48" s="5" t="n">
        <v>9283</v>
      </c>
      <c r="K48" s="5" t="n">
        <v>1742</v>
      </c>
    </row>
    <row r="49">
      <c r="A49" s="2" t="inlineStr">
        <is>
          <t>Altri beni: mobili e arredi</t>
        </is>
      </c>
      <c r="B49" s="2" t="inlineStr">
        <is>
          <t>Sedie ergonomiche (lotto iniziale)</t>
        </is>
      </c>
      <c r="C49" s="3" t="n">
        <v>42784</v>
      </c>
      <c r="D49" s="4" t="n">
        <v>0.12</v>
      </c>
      <c r="E49" s="5" t="n">
        <v>6300</v>
      </c>
      <c r="F49" s="5" t="n">
        <v>0</v>
      </c>
      <c r="G49" s="5" t="n">
        <v>6300</v>
      </c>
      <c r="H49" s="5" t="n">
        <v>4786</v>
      </c>
      <c r="I49" s="5" t="n">
        <v>519</v>
      </c>
      <c r="J49" s="5" t="n">
        <v>5305</v>
      </c>
      <c r="K49" s="5" t="n">
        <v>995</v>
      </c>
    </row>
    <row r="50">
      <c r="A50" s="2" t="inlineStr">
        <is>
          <t>Altri beni: mobili e arredi</t>
        </is>
      </c>
      <c r="B50" s="2" t="inlineStr">
        <is>
          <t>Armadi e arredi della sala riunioni</t>
        </is>
      </c>
      <c r="C50" s="3" t="n">
        <v>43784</v>
      </c>
      <c r="D50" s="4" t="n">
        <v>0.12</v>
      </c>
      <c r="E50" s="5" t="n">
        <v>7875</v>
      </c>
      <c r="F50" s="5" t="n">
        <v>0</v>
      </c>
      <c r="G50" s="5" t="n">
        <v>7875</v>
      </c>
      <c r="H50" s="5" t="n">
        <v>4023</v>
      </c>
      <c r="I50" s="5" t="n">
        <v>649</v>
      </c>
      <c r="J50" s="5" t="n">
        <v>4672</v>
      </c>
      <c r="K50" s="5" t="n">
        <v>3203</v>
      </c>
    </row>
    <row r="51">
      <c r="A51" s="2" t="inlineStr">
        <is>
          <t>Altri beni: mobili e arredi</t>
        </is>
      </c>
      <c r="B51" s="2" t="inlineStr">
        <is>
          <t>Arredi del laboratorio dati di corso Francia</t>
        </is>
      </c>
      <c r="C51" s="3" t="n">
        <v>44462</v>
      </c>
      <c r="D51" s="4" t="n">
        <v>0.12</v>
      </c>
      <c r="E51" s="5" t="n">
        <v>6300</v>
      </c>
      <c r="F51" s="5" t="n">
        <v>0</v>
      </c>
      <c r="G51" s="5" t="n">
        <v>6300</v>
      </c>
      <c r="H51" s="5" t="n">
        <v>1651</v>
      </c>
      <c r="I51" s="5" t="n">
        <v>519</v>
      </c>
      <c r="J51" s="5" t="n">
        <v>2170</v>
      </c>
      <c r="K51" s="5" t="n">
        <v>4130</v>
      </c>
    </row>
    <row r="52">
      <c r="A52" s="2" t="inlineStr">
        <is>
          <t>Altri beni: mobili e arredi</t>
        </is>
      </c>
      <c r="B52" s="2" t="inlineStr">
        <is>
          <t>Scrivanie e sedie per l'ampliamento dell'organico (2022)</t>
        </is>
      </c>
      <c r="C52" s="3" t="n">
        <v>44698</v>
      </c>
      <c r="D52" s="4" t="n">
        <v>0.12</v>
      </c>
      <c r="E52" s="5" t="n">
        <v>2796</v>
      </c>
      <c r="F52" s="5" t="n">
        <v>0</v>
      </c>
      <c r="G52" s="5" t="n">
        <v>2796</v>
      </c>
      <c r="H52" s="5" t="n">
        <v>294</v>
      </c>
      <c r="I52" s="5" t="n">
        <v>230</v>
      </c>
      <c r="J52" s="5" t="n">
        <v>524</v>
      </c>
      <c r="K52" s="5" t="n">
        <v>2272</v>
      </c>
    </row>
    <row r="53">
      <c r="A53" s="2" t="inlineStr">
        <is>
          <t>Altri beni: mobili e arredi</t>
        </is>
      </c>
      <c r="B53" s="2" t="inlineStr">
        <is>
          <t>Arredi e scrivanie regolabili (2023)</t>
        </is>
      </c>
      <c r="C53" s="3" t="n">
        <v>45116</v>
      </c>
      <c r="D53" s="4" t="n">
        <v>0.12</v>
      </c>
      <c r="E53" s="5" t="n">
        <v>3708</v>
      </c>
      <c r="F53" s="5" t="n">
        <v>0</v>
      </c>
      <c r="G53" s="5" t="n">
        <v>3708</v>
      </c>
      <c r="H53" s="5" t="n">
        <v>135</v>
      </c>
      <c r="I53" s="5" t="n">
        <v>306</v>
      </c>
      <c r="J53" s="5" t="n">
        <v>441</v>
      </c>
      <c r="K53" s="5" t="n">
        <v>3267</v>
      </c>
    </row>
    <row r="54">
      <c r="A54" s="2" t="inlineStr">
        <is>
          <t>Altri beni: mobili e arredi</t>
        </is>
      </c>
      <c r="B54" s="2" t="inlineStr">
        <is>
          <t>Arredi per la sala formazione (2024)</t>
        </is>
      </c>
      <c r="C54" s="3" t="n">
        <v>45558</v>
      </c>
      <c r="D54" s="4" t="n">
        <v>0.12</v>
      </c>
      <c r="E54" s="5" t="n">
        <v>0</v>
      </c>
      <c r="F54" s="5" t="n">
        <v>4392</v>
      </c>
      <c r="G54" s="5" t="n">
        <v>4392</v>
      </c>
      <c r="H54" s="5" t="n">
        <v>0</v>
      </c>
      <c r="I54" s="5" t="n">
        <v>181</v>
      </c>
      <c r="J54" s="5" t="n">
        <v>181</v>
      </c>
      <c r="K54" s="5" t="n">
        <v>4211</v>
      </c>
    </row>
    <row r="55">
      <c r="A55" s="2" t="inlineStr">
        <is>
          <t>Altri beni: autovetture e mezzi di trasporto interni</t>
        </is>
      </c>
      <c r="B55" s="2" t="inlineStr">
        <is>
          <t>Autovettura aziendale ibrida di proprietà</t>
        </is>
      </c>
      <c r="C55" s="3" t="n">
        <v>43602</v>
      </c>
      <c r="D55" s="4" t="n">
        <v>0.25</v>
      </c>
      <c r="E55" s="5" t="n">
        <v>18000</v>
      </c>
      <c r="F55" s="5" t="n">
        <v>0</v>
      </c>
      <c r="G55" s="5" t="n">
        <v>18000</v>
      </c>
      <c r="H55" s="5" t="n">
        <v>12192</v>
      </c>
      <c r="I55" s="5" t="n">
        <v>1334</v>
      </c>
      <c r="J55" s="5" t="n">
        <v>13526</v>
      </c>
      <c r="K55" s="5" t="n">
        <v>4474</v>
      </c>
    </row>
    <row r="56">
      <c r="A56" s="2" t="inlineStr">
        <is>
          <t>Altri beni: autovetture e mezzi di trasporto interni</t>
        </is>
      </c>
      <c r="B56" s="2" t="inlineStr">
        <is>
          <t>Dotazioni e allestimenti delle autovetture aziendali (2022)</t>
        </is>
      </c>
      <c r="C56" s="3" t="n">
        <v>44736</v>
      </c>
      <c r="D56" s="4" t="n">
        <v>0.25</v>
      </c>
      <c r="E56" s="5" t="n">
        <v>1398</v>
      </c>
      <c r="F56" s="5" t="n">
        <v>0</v>
      </c>
      <c r="G56" s="5" t="n">
        <v>1398</v>
      </c>
      <c r="H56" s="5" t="n">
        <v>130</v>
      </c>
      <c r="I56" s="5" t="n">
        <v>104</v>
      </c>
      <c r="J56" s="5" t="n">
        <v>234</v>
      </c>
      <c r="K56" s="5" t="n">
        <v>1164</v>
      </c>
    </row>
    <row r="57">
      <c r="A57" s="2" t="inlineStr">
        <is>
          <t>Altri beni: autovetture e mezzi di trasporto interni</t>
        </is>
      </c>
      <c r="B57" s="2" t="inlineStr">
        <is>
          <t>Dotazioni e allestimenti delle autovetture aziendali (2023)</t>
        </is>
      </c>
      <c r="C57" s="3" t="n">
        <v>45101</v>
      </c>
      <c r="D57" s="4" t="n">
        <v>0.25</v>
      </c>
      <c r="E57" s="5" t="n">
        <v>1854</v>
      </c>
      <c r="F57" s="5" t="n">
        <v>0</v>
      </c>
      <c r="G57" s="5" t="n">
        <v>1854</v>
      </c>
      <c r="H57" s="5" t="n">
        <v>60</v>
      </c>
      <c r="I57" s="5" t="n">
        <v>137</v>
      </c>
      <c r="J57" s="5" t="n">
        <v>197</v>
      </c>
      <c r="K57" s="5" t="n">
        <v>1657</v>
      </c>
    </row>
    <row r="58">
      <c r="A58" s="2" t="inlineStr">
        <is>
          <t>Altri beni: autovetture e mezzi di trasporto interni</t>
        </is>
      </c>
      <c r="B58" s="2" t="inlineStr">
        <is>
          <t>Dotazioni e allestimenti delle autovetture aziendali (2024)</t>
        </is>
      </c>
      <c r="C58" s="3" t="n">
        <v>45467</v>
      </c>
      <c r="D58" s="4" t="n">
        <v>0.25</v>
      </c>
      <c r="E58" s="5" t="n">
        <v>0</v>
      </c>
      <c r="F58" s="5" t="n">
        <v>2196</v>
      </c>
      <c r="G58" s="5" t="n">
        <v>2196</v>
      </c>
      <c r="H58" s="5" t="n">
        <v>0</v>
      </c>
      <c r="I58" s="5" t="n">
        <v>81</v>
      </c>
      <c r="J58" s="5" t="n">
        <v>81</v>
      </c>
      <c r="K58" s="5" t="n">
        <v>2115</v>
      </c>
    </row>
    <row r="59">
      <c r="A59" s="6" t="inlineStr">
        <is>
          <t>Totale</t>
        </is>
      </c>
      <c r="B59" s="7" t="n"/>
      <c r="C59" s="7" t="n"/>
      <c r="D59" s="7" t="n"/>
      <c r="E59" s="8">
        <f>SUM(E2:E58)</f>
        <v/>
      </c>
      <c r="F59" s="8">
        <f>SUM(F2:F58)</f>
        <v/>
      </c>
      <c r="G59" s="8">
        <f>SUM(G2:G58)</f>
        <v/>
      </c>
      <c r="H59" s="8">
        <f>SUM(H2:H58)</f>
        <v/>
      </c>
      <c r="I59" s="8">
        <f>SUM(I2:I58)</f>
        <v/>
      </c>
      <c r="J59" s="8">
        <f>SUM(J2:J58)</f>
        <v/>
      </c>
      <c r="K59" s="8">
        <f>SUM(K2:K58)</f>
        <v/>
      </c>
    </row>
  </sheetData>
  <autoFilter ref="A1:K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14" customWidth="1" min="3" max="3"/>
    <col width="1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Classe</t>
        </is>
      </c>
      <c r="B1" s="1" t="inlineStr">
        <is>
          <t>Bene</t>
        </is>
      </c>
      <c r="C1" s="1" t="inlineStr">
        <is>
          <t>Acquisto</t>
        </is>
      </c>
      <c r="D1" s="1" t="inlineStr">
        <is>
          <t>Aliquota</t>
        </is>
      </c>
      <c r="E1" s="1" t="inlineStr">
        <is>
          <t>Costo 1/1</t>
        </is>
      </c>
      <c r="F1" s="1" t="inlineStr">
        <is>
          <t>Incrementi</t>
        </is>
      </c>
      <c r="G1" s="1" t="inlineStr">
        <is>
          <t>Costo 31/12</t>
        </is>
      </c>
      <c r="H1" s="1" t="inlineStr">
        <is>
          <t>Fondo 1/1</t>
        </is>
      </c>
      <c r="I1" s="1" t="inlineStr">
        <is>
          <t>Ammortamento</t>
        </is>
      </c>
      <c r="J1" s="1" t="inlineStr">
        <is>
          <t>Fondo 31/12</t>
        </is>
      </c>
      <c r="K1" s="1" t="inlineStr">
        <is>
          <t>Valore netto</t>
        </is>
      </c>
    </row>
    <row r="2">
      <c r="A2" s="2" t="inlineStr">
        <is>
          <t>Costi di sviluppo</t>
        </is>
      </c>
      <c r="B2" s="2" t="inlineStr">
        <is>
          <t>Piattaforma Atlas: motore di stima (versione 1)</t>
        </is>
      </c>
      <c r="C2" s="3" t="n">
        <v>43456</v>
      </c>
      <c r="D2" s="4" t="n">
        <v>0.2</v>
      </c>
      <c r="E2" s="5" t="n">
        <v>29400</v>
      </c>
      <c r="F2" s="5" t="n">
        <v>0</v>
      </c>
      <c r="G2" s="5" t="n">
        <v>29400</v>
      </c>
      <c r="H2" s="5" t="n">
        <v>29400</v>
      </c>
      <c r="I2" s="5" t="n">
        <v>0</v>
      </c>
      <c r="J2" s="5" t="n">
        <v>29400</v>
      </c>
      <c r="K2" s="5" t="n">
        <v>0</v>
      </c>
    </row>
    <row r="3">
      <c r="A3" s="2" t="inlineStr">
        <is>
          <t>Costi di sviluppo</t>
        </is>
      </c>
      <c r="B3" s="2" t="inlineStr">
        <is>
          <t>Piattaforma Atlas: modulo di acquisizione dei documenti</t>
        </is>
      </c>
      <c r="C3" s="3" t="n">
        <v>43821</v>
      </c>
      <c r="D3" s="4" t="n">
        <v>0.2</v>
      </c>
      <c r="E3" s="5" t="n">
        <v>29400</v>
      </c>
      <c r="F3" s="5" t="n">
        <v>0</v>
      </c>
      <c r="G3" s="5" t="n">
        <v>29400</v>
      </c>
      <c r="H3" s="5" t="n">
        <v>26098</v>
      </c>
      <c r="I3" s="5" t="n">
        <v>3302</v>
      </c>
      <c r="J3" s="5" t="n">
        <v>29400</v>
      </c>
      <c r="K3" s="5" t="n">
        <v>0</v>
      </c>
    </row>
    <row r="4">
      <c r="A4" s="2" t="inlineStr">
        <is>
          <t>Costi di sviluppo</t>
        </is>
      </c>
      <c r="B4" s="2" t="inlineStr">
        <is>
          <t>Piattaforma Atlas: archivio delle regole dei bandi</t>
        </is>
      </c>
      <c r="C4" s="3" t="n">
        <v>44187</v>
      </c>
      <c r="D4" s="4" t="n">
        <v>0.2</v>
      </c>
      <c r="E4" s="5" t="n">
        <v>24500</v>
      </c>
      <c r="F4" s="5" t="n">
        <v>0</v>
      </c>
      <c r="G4" s="5" t="n">
        <v>24500</v>
      </c>
      <c r="H4" s="5" t="n">
        <v>16839</v>
      </c>
      <c r="I4" s="5" t="n">
        <v>2809</v>
      </c>
      <c r="J4" s="5" t="n">
        <v>19648</v>
      </c>
      <c r="K4" s="5" t="n">
        <v>4852</v>
      </c>
    </row>
    <row r="5">
      <c r="A5" s="2" t="inlineStr">
        <is>
          <t>Costi di sviluppo</t>
        </is>
      </c>
      <c r="B5" s="2" t="inlineStr">
        <is>
          <t>Piattaforma Atlas: interfaccia web e reportistica</t>
        </is>
      </c>
      <c r="C5" s="3" t="n">
        <v>44552</v>
      </c>
      <c r="D5" s="4" t="n">
        <v>0.2</v>
      </c>
      <c r="E5" s="5" t="n">
        <v>14700</v>
      </c>
      <c r="F5" s="5" t="n">
        <v>0</v>
      </c>
      <c r="G5" s="5" t="n">
        <v>14700</v>
      </c>
      <c r="H5" s="5" t="n">
        <v>7158</v>
      </c>
      <c r="I5" s="5" t="n">
        <v>1685</v>
      </c>
      <c r="J5" s="5" t="n">
        <v>8843</v>
      </c>
      <c r="K5" s="5" t="n">
        <v>5857</v>
      </c>
    </row>
    <row r="6">
      <c r="A6" s="2" t="inlineStr">
        <is>
          <t>Costi di sviluppo</t>
        </is>
      </c>
      <c r="B6" s="2" t="inlineStr">
        <is>
          <t>Piattaforma Atlas: miglioramento del motore di stima</t>
        </is>
      </c>
      <c r="C6" s="3" t="n">
        <v>44917</v>
      </c>
      <c r="D6" s="4" t="n">
        <v>0.2</v>
      </c>
      <c r="E6" s="5" t="n">
        <v>10296</v>
      </c>
      <c r="F6" s="5" t="n">
        <v>0</v>
      </c>
      <c r="G6" s="5" t="n">
        <v>10296</v>
      </c>
      <c r="H6" s="5" t="n">
        <v>2535</v>
      </c>
      <c r="I6" s="5" t="n">
        <v>1180</v>
      </c>
      <c r="J6" s="5" t="n">
        <v>3715</v>
      </c>
      <c r="K6" s="5" t="n">
        <v>6581</v>
      </c>
    </row>
    <row r="7">
      <c r="A7" s="2" t="inlineStr">
        <is>
          <t>Costi di sviluppo</t>
        </is>
      </c>
      <c r="B7" s="2" t="inlineStr">
        <is>
          <t>Piattaforma Atlas: motore di calcolo deterministico</t>
        </is>
      </c>
      <c r="C7" s="3" t="n">
        <v>45282</v>
      </c>
      <c r="D7" s="4" t="n">
        <v>0.2</v>
      </c>
      <c r="E7" s="5" t="n">
        <v>21024</v>
      </c>
      <c r="F7" s="5" t="n">
        <v>0</v>
      </c>
      <c r="G7" s="5" t="n">
        <v>21024</v>
      </c>
      <c r="H7" s="5" t="n">
        <v>3385</v>
      </c>
      <c r="I7" s="5" t="n">
        <v>2411</v>
      </c>
      <c r="J7" s="5" t="n">
        <v>5796</v>
      </c>
      <c r="K7" s="5" t="n">
        <v>15228</v>
      </c>
    </row>
    <row r="8">
      <c r="A8" s="2" t="inlineStr">
        <is>
          <t>Costi di sviluppo</t>
        </is>
      </c>
      <c r="B8" s="2" t="inlineStr">
        <is>
          <t>Piattaforma Atlas: API e integrazioni verso i gestionali</t>
        </is>
      </c>
      <c r="C8" s="3" t="n">
        <v>45648</v>
      </c>
      <c r="D8" s="4" t="n">
        <v>0.2</v>
      </c>
      <c r="E8" s="5" t="n">
        <v>24336</v>
      </c>
      <c r="F8" s="5" t="n">
        <v>0</v>
      </c>
      <c r="G8" s="5" t="n">
        <v>24336</v>
      </c>
      <c r="H8" s="5" t="n">
        <v>1415</v>
      </c>
      <c r="I8" s="5" t="n">
        <v>2790</v>
      </c>
      <c r="J8" s="5" t="n">
        <v>4205</v>
      </c>
      <c r="K8" s="5" t="n">
        <v>20131</v>
      </c>
    </row>
    <row r="9">
      <c r="A9" s="2" t="inlineStr">
        <is>
          <t>Costi di sviluppo</t>
        </is>
      </c>
      <c r="B9" s="2" t="inlineStr">
        <is>
          <t>Piattaforma Atlas: assistente di inserimento dati e modulo di dossier</t>
        </is>
      </c>
      <c r="C9" s="3" t="n">
        <v>46013</v>
      </c>
      <c r="D9" s="4" t="n">
        <v>0.2</v>
      </c>
      <c r="E9" s="5" t="n">
        <v>0</v>
      </c>
      <c r="F9" s="5" t="n">
        <v>26208</v>
      </c>
      <c r="G9" s="5" t="n">
        <v>26208</v>
      </c>
      <c r="H9" s="5" t="n">
        <v>0</v>
      </c>
      <c r="I9" s="5" t="n">
        <v>1503</v>
      </c>
      <c r="J9" s="5" t="n">
        <v>1503</v>
      </c>
      <c r="K9" s="5" t="n">
        <v>24705</v>
      </c>
    </row>
    <row r="10">
      <c r="A10" s="2" t="inlineStr">
        <is>
          <t>Diritti di utilizzazione di opere dell'ingegno (software applicativo)</t>
        </is>
      </c>
      <c r="B10" s="2" t="inlineStr">
        <is>
          <t>Licenza perpetua ambiente di modellazione UML e CAD</t>
        </is>
      </c>
      <c r="C10" s="3" t="n">
        <v>42819</v>
      </c>
      <c r="D10" s="4" t="n">
        <v>0.33</v>
      </c>
      <c r="E10" s="5" t="n">
        <v>7700</v>
      </c>
      <c r="F10" s="5" t="n">
        <v>0</v>
      </c>
      <c r="G10" s="5" t="n">
        <v>7700</v>
      </c>
      <c r="H10" s="5" t="n">
        <v>7700</v>
      </c>
      <c r="I10" s="5" t="n">
        <v>0</v>
      </c>
      <c r="J10" s="5" t="n">
        <v>7700</v>
      </c>
      <c r="K10" s="5" t="n">
        <v>0</v>
      </c>
    </row>
    <row r="11">
      <c r="A11" s="2" t="inlineStr">
        <is>
          <t>Diritti di utilizzazione di opere dell'ingegno (software applicativo)</t>
        </is>
      </c>
      <c r="B11" s="2" t="inlineStr">
        <is>
          <t>Software di gestione progetti e ticketing (licenza perpetua)</t>
        </is>
      </c>
      <c r="C11" s="3" t="n">
        <v>43275</v>
      </c>
      <c r="D11" s="4" t="n">
        <v>0.33</v>
      </c>
      <c r="E11" s="5" t="n">
        <v>8800</v>
      </c>
      <c r="F11" s="5" t="n">
        <v>0</v>
      </c>
      <c r="G11" s="5" t="n">
        <v>8800</v>
      </c>
      <c r="H11" s="5" t="n">
        <v>8800</v>
      </c>
      <c r="I11" s="5" t="n">
        <v>0</v>
      </c>
      <c r="J11" s="5" t="n">
        <v>8800</v>
      </c>
      <c r="K11" s="5" t="n">
        <v>0</v>
      </c>
    </row>
    <row r="12">
      <c r="A12" s="2" t="inlineStr">
        <is>
          <t>Diritti di utilizzazione di opere dell'ingegno (software applicativo)</t>
        </is>
      </c>
      <c r="B12" s="2" t="inlineStr">
        <is>
          <t>Software di business intelligence (licenza perpetua)</t>
        </is>
      </c>
      <c r="C12" s="3" t="n">
        <v>44097</v>
      </c>
      <c r="D12" s="4" t="n">
        <v>0.33</v>
      </c>
      <c r="E12" s="5" t="n">
        <v>5500</v>
      </c>
      <c r="F12" s="5" t="n">
        <v>0</v>
      </c>
      <c r="G12" s="5" t="n">
        <v>5500</v>
      </c>
      <c r="H12" s="5" t="n">
        <v>4460</v>
      </c>
      <c r="I12" s="5" t="n">
        <v>1040</v>
      </c>
      <c r="J12" s="5" t="n">
        <v>5500</v>
      </c>
      <c r="K12" s="5" t="n">
        <v>0</v>
      </c>
    </row>
    <row r="13">
      <c r="A13" s="2" t="inlineStr">
        <is>
          <t>Diritti di utilizzazione di opere dell'ingegno (software applicativo)</t>
        </is>
      </c>
      <c r="B13" s="2" t="inlineStr">
        <is>
          <t>Software di contabilità e gestione paghe (licenza)</t>
        </is>
      </c>
      <c r="C13" s="3" t="n">
        <v>44610</v>
      </c>
      <c r="D13" s="4" t="n">
        <v>0.33</v>
      </c>
      <c r="E13" s="5" t="n">
        <v>2574</v>
      </c>
      <c r="F13" s="5" t="n">
        <v>0</v>
      </c>
      <c r="G13" s="5" t="n">
        <v>2574</v>
      </c>
      <c r="H13" s="5" t="n">
        <v>824</v>
      </c>
      <c r="I13" s="5" t="n">
        <v>515</v>
      </c>
      <c r="J13" s="5" t="n">
        <v>1339</v>
      </c>
      <c r="K13" s="5" t="n">
        <v>1235</v>
      </c>
    </row>
    <row r="14">
      <c r="A14" s="2" t="inlineStr">
        <is>
          <t>Diritti di utilizzazione di opere dell'ingegno (software applicativo)</t>
        </is>
      </c>
      <c r="B14" s="2" t="inlineStr">
        <is>
          <t>Software di gestione documentale e firma digitale (licenza)</t>
        </is>
      </c>
      <c r="C14" s="3" t="n">
        <v>45063</v>
      </c>
      <c r="D14" s="4" t="n">
        <v>0.33</v>
      </c>
      <c r="E14" s="5" t="n">
        <v>5256</v>
      </c>
      <c r="F14" s="5" t="n">
        <v>0</v>
      </c>
      <c r="G14" s="5" t="n">
        <v>5256</v>
      </c>
      <c r="H14" s="5" t="n">
        <v>1119</v>
      </c>
      <c r="I14" s="5" t="n">
        <v>1052</v>
      </c>
      <c r="J14" s="5" t="n">
        <v>2171</v>
      </c>
      <c r="K14" s="5" t="n">
        <v>3085</v>
      </c>
    </row>
    <row r="15">
      <c r="A15" s="2" t="inlineStr">
        <is>
          <t>Diritti di utilizzazione di opere dell'ingegno (software applicativo)</t>
        </is>
      </c>
      <c r="B15" s="2" t="inlineStr">
        <is>
          <t>Software di analisi statica del codice (licenza perpetua)</t>
        </is>
      </c>
      <c r="C15" s="3" t="n">
        <v>45392</v>
      </c>
      <c r="D15" s="4" t="n">
        <v>0.33</v>
      </c>
      <c r="E15" s="5" t="n">
        <v>6084</v>
      </c>
      <c r="F15" s="5" t="n">
        <v>0</v>
      </c>
      <c r="G15" s="5" t="n">
        <v>6084</v>
      </c>
      <c r="H15" s="5" t="n">
        <v>477</v>
      </c>
      <c r="I15" s="5" t="n">
        <v>1217</v>
      </c>
      <c r="J15" s="5" t="n">
        <v>1694</v>
      </c>
      <c r="K15" s="5" t="n">
        <v>4390</v>
      </c>
    </row>
    <row r="16">
      <c r="A16" s="2" t="inlineStr">
        <is>
          <t>Diritti di utilizzazione di opere dell'ingegno (software applicativo)</t>
        </is>
      </c>
      <c r="B16" s="2" t="inlineStr">
        <is>
          <t>Software di monitoraggio e osservabilità (licenza perpetua)</t>
        </is>
      </c>
      <c r="C16" s="3" t="n">
        <v>45847</v>
      </c>
      <c r="D16" s="4" t="n">
        <v>0.33</v>
      </c>
      <c r="E16" s="5" t="n">
        <v>0</v>
      </c>
      <c r="F16" s="5" t="n">
        <v>6552</v>
      </c>
      <c r="G16" s="5" t="n">
        <v>6552</v>
      </c>
      <c r="H16" s="5" t="n">
        <v>0</v>
      </c>
      <c r="I16" s="5" t="n">
        <v>656</v>
      </c>
      <c r="J16" s="5" t="n">
        <v>656</v>
      </c>
      <c r="K16" s="5" t="n">
        <v>5896</v>
      </c>
    </row>
    <row r="17">
      <c r="A17" s="2" t="inlineStr">
        <is>
          <t>Concessioni, licenze, marchi e diritti simili</t>
        </is>
      </c>
      <c r="B17" s="2" t="inlineStr">
        <is>
          <t>Marchio denominativo ATLAS: registrazione presso l'UIBM</t>
        </is>
      </c>
      <c r="C17" s="3" t="n">
        <v>43565</v>
      </c>
      <c r="D17" s="4" t="n">
        <v>0.2</v>
      </c>
      <c r="E17" s="5" t="n">
        <v>3100</v>
      </c>
      <c r="F17" s="5" t="n">
        <v>0</v>
      </c>
      <c r="G17" s="5" t="n">
        <v>3100</v>
      </c>
      <c r="H17" s="5" t="n">
        <v>2929</v>
      </c>
      <c r="I17" s="5" t="n">
        <v>171</v>
      </c>
      <c r="J17" s="5" t="n">
        <v>3100</v>
      </c>
      <c r="K17" s="5" t="n">
        <v>0</v>
      </c>
    </row>
    <row r="18">
      <c r="A18" s="2" t="inlineStr">
        <is>
          <t>Concessioni, licenze, marchi e diritti simili</t>
        </is>
      </c>
      <c r="B18" s="2" t="inlineStr">
        <is>
          <t>Marchio figurativo Meridiana: registrazione e rinnovo</t>
        </is>
      </c>
      <c r="C18" s="3" t="n">
        <v>44006</v>
      </c>
      <c r="D18" s="4" t="n">
        <v>0.2</v>
      </c>
      <c r="E18" s="5" t="n">
        <v>3100</v>
      </c>
      <c r="F18" s="5" t="n">
        <v>0</v>
      </c>
      <c r="G18" s="5" t="n">
        <v>3100</v>
      </c>
      <c r="H18" s="5" t="n">
        <v>2208</v>
      </c>
      <c r="I18" s="5" t="n">
        <v>324</v>
      </c>
      <c r="J18" s="5" t="n">
        <v>2532</v>
      </c>
      <c r="K18" s="5" t="n">
        <v>568</v>
      </c>
    </row>
    <row r="19">
      <c r="A19" s="2" t="inlineStr">
        <is>
          <t>Concessioni, licenze, marchi e diritti simili</t>
        </is>
      </c>
      <c r="B19" s="2" t="inlineStr">
        <is>
          <t>Certificazione ISO 9001: costi di prima certificazione</t>
        </is>
      </c>
      <c r="C19" s="3" t="n">
        <v>44842</v>
      </c>
      <c r="D19" s="4" t="n">
        <v>0.2</v>
      </c>
      <c r="E19" s="5" t="n">
        <v>572</v>
      </c>
      <c r="F19" s="5" t="n">
        <v>0</v>
      </c>
      <c r="G19" s="5" t="n">
        <v>572</v>
      </c>
      <c r="H19" s="5" t="n">
        <v>122</v>
      </c>
      <c r="I19" s="5" t="n">
        <v>60</v>
      </c>
      <c r="J19" s="5" t="n">
        <v>182</v>
      </c>
      <c r="K19" s="5" t="n">
        <v>390</v>
      </c>
    </row>
    <row r="20">
      <c r="A20" s="2" t="inlineStr">
        <is>
          <t>Concessioni, licenze, marchi e diritti simili</t>
        </is>
      </c>
      <c r="B20" s="2" t="inlineStr">
        <is>
          <t>Certificazione ISO/IEC 27001: costi di prima certificazione</t>
        </is>
      </c>
      <c r="C20" s="3" t="n">
        <v>45192</v>
      </c>
      <c r="D20" s="4" t="n">
        <v>0.2</v>
      </c>
      <c r="E20" s="5" t="n">
        <v>1168</v>
      </c>
      <c r="F20" s="5" t="n">
        <v>0</v>
      </c>
      <c r="G20" s="5" t="n">
        <v>1168</v>
      </c>
      <c r="H20" s="5" t="n">
        <v>155</v>
      </c>
      <c r="I20" s="5" t="n">
        <v>123</v>
      </c>
      <c r="J20" s="5" t="n">
        <v>278</v>
      </c>
      <c r="K20" s="5" t="n">
        <v>890</v>
      </c>
    </row>
    <row r="21">
      <c r="A21" s="2" t="inlineStr">
        <is>
          <t>Concessioni, licenze, marchi e diritti simili</t>
        </is>
      </c>
      <c r="B21" s="2" t="inlineStr">
        <is>
          <t>Licenze d'uso di certificati e domini pluriennali</t>
        </is>
      </c>
      <c r="C21" s="3" t="n">
        <v>45376</v>
      </c>
      <c r="D21" s="4" t="n">
        <v>0.2</v>
      </c>
      <c r="E21" s="5" t="n">
        <v>1352</v>
      </c>
      <c r="F21" s="5" t="n">
        <v>0</v>
      </c>
      <c r="G21" s="5" t="n">
        <v>1352</v>
      </c>
      <c r="H21" s="5" t="n">
        <v>62</v>
      </c>
      <c r="I21" s="5" t="n">
        <v>142</v>
      </c>
      <c r="J21" s="5" t="n">
        <v>204</v>
      </c>
      <c r="K21" s="5" t="n">
        <v>1148</v>
      </c>
    </row>
    <row r="22">
      <c r="A22" s="2" t="inlineStr">
        <is>
          <t>Concessioni, licenze, marchi e diritti simili</t>
        </is>
      </c>
      <c r="B22" s="2" t="inlineStr">
        <is>
          <t>Rinnovo marchi e registrazione nome a dominio estero</t>
        </is>
      </c>
      <c r="C22" s="3" t="n">
        <v>45794</v>
      </c>
      <c r="D22" s="4" t="n">
        <v>0.2</v>
      </c>
      <c r="E22" s="5" t="n">
        <v>0</v>
      </c>
      <c r="F22" s="5" t="n">
        <v>1456</v>
      </c>
      <c r="G22" s="5" t="n">
        <v>1456</v>
      </c>
      <c r="H22" s="5" t="n">
        <v>0</v>
      </c>
      <c r="I22" s="5" t="n">
        <v>76</v>
      </c>
      <c r="J22" s="5" t="n">
        <v>76</v>
      </c>
      <c r="K22" s="5" t="n">
        <v>1380</v>
      </c>
    </row>
    <row r="23">
      <c r="A23" s="2" t="inlineStr">
        <is>
          <t>Altre immobilizzazioni immateriali (migliorie su beni di terzi)</t>
        </is>
      </c>
      <c r="B23" s="2" t="inlineStr">
        <is>
          <t>Migliorie su beni di terzi: sede legale di via Garibaldi (pareti e impianti)</t>
        </is>
      </c>
      <c r="C23" s="3" t="n">
        <v>42454</v>
      </c>
      <c r="D23" s="4" t="n">
        <v>0.2</v>
      </c>
      <c r="E23" s="5" t="n">
        <v>4500</v>
      </c>
      <c r="F23" s="5" t="n">
        <v>0</v>
      </c>
      <c r="G23" s="5" t="n">
        <v>4500</v>
      </c>
      <c r="H23" s="5" t="n">
        <v>4500</v>
      </c>
      <c r="I23" s="5" t="n">
        <v>0</v>
      </c>
      <c r="J23" s="5" t="n">
        <v>4500</v>
      </c>
      <c r="K23" s="5" t="n">
        <v>0</v>
      </c>
    </row>
    <row r="24">
      <c r="A24" s="2" t="inlineStr">
        <is>
          <t>Altre immobilizzazioni immateriali (migliorie su beni di terzi)</t>
        </is>
      </c>
      <c r="B24" s="2" t="inlineStr">
        <is>
          <t>Migliorie su beni di terzi: sala server e cablaggio dedicato</t>
        </is>
      </c>
      <c r="C24" s="3" t="n">
        <v>43655</v>
      </c>
      <c r="D24" s="4" t="n">
        <v>0.2</v>
      </c>
      <c r="E24" s="5" t="n">
        <v>3000</v>
      </c>
      <c r="F24" s="5" t="n">
        <v>0</v>
      </c>
      <c r="G24" s="5" t="n">
        <v>3000</v>
      </c>
      <c r="H24" s="5" t="n">
        <v>2618</v>
      </c>
      <c r="I24" s="5" t="n">
        <v>249</v>
      </c>
      <c r="J24" s="5" t="n">
        <v>2867</v>
      </c>
      <c r="K24" s="5" t="n">
        <v>133</v>
      </c>
    </row>
    <row r="25">
      <c r="A25" s="2" t="inlineStr">
        <is>
          <t>Altre immobilizzazioni immateriali (migliorie su beni di terzi)</t>
        </is>
      </c>
      <c r="B25" s="2" t="inlineStr">
        <is>
          <t>Migliorie su beni di terzi: unità locale di corso Francia (laboratorio dati)</t>
        </is>
      </c>
      <c r="C25" s="3" t="n">
        <v>44462</v>
      </c>
      <c r="D25" s="4" t="n">
        <v>0.2</v>
      </c>
      <c r="E25" s="5" t="n">
        <v>7500</v>
      </c>
      <c r="F25" s="5" t="n">
        <v>0</v>
      </c>
      <c r="G25" s="5" t="n">
        <v>7500</v>
      </c>
      <c r="H25" s="5" t="n">
        <v>3239</v>
      </c>
      <c r="I25" s="5" t="n">
        <v>621</v>
      </c>
      <c r="J25" s="5" t="n">
        <v>3860</v>
      </c>
      <c r="K25" s="5" t="n">
        <v>3640</v>
      </c>
    </row>
    <row r="26">
      <c r="A26" s="2" t="inlineStr">
        <is>
          <t>Altre immobilizzazioni immateriali (migliorie su beni di terzi)</t>
        </is>
      </c>
      <c r="B26" s="2" t="inlineStr">
        <is>
          <t>Migliorie su beni di terzi: ampliamento sala riunioni</t>
        </is>
      </c>
      <c r="C26" s="3" t="n">
        <v>44736</v>
      </c>
      <c r="D26" s="4" t="n">
        <v>0.2</v>
      </c>
      <c r="E26" s="5" t="n">
        <v>858</v>
      </c>
      <c r="F26" s="5" t="n">
        <v>0</v>
      </c>
      <c r="G26" s="5" t="n">
        <v>858</v>
      </c>
      <c r="H26" s="5" t="n">
        <v>159</v>
      </c>
      <c r="I26" s="5" t="n">
        <v>71</v>
      </c>
      <c r="J26" s="5" t="n">
        <v>230</v>
      </c>
      <c r="K26" s="5" t="n">
        <v>628</v>
      </c>
    </row>
    <row r="27">
      <c r="A27" s="2" t="inlineStr">
        <is>
          <t>Altre immobilizzazioni immateriali (migliorie su beni di terzi)</t>
        </is>
      </c>
      <c r="B27" s="2" t="inlineStr">
        <is>
          <t>Migliorie su beni di terzi: cabina di proiezione e area formazione</t>
        </is>
      </c>
      <c r="C27" s="3" t="n">
        <v>45026</v>
      </c>
      <c r="D27" s="4" t="n">
        <v>0.2</v>
      </c>
      <c r="E27" s="5" t="n">
        <v>1752</v>
      </c>
      <c r="F27" s="5" t="n">
        <v>0</v>
      </c>
      <c r="G27" s="5" t="n">
        <v>1752</v>
      </c>
      <c r="H27" s="5" t="n">
        <v>213</v>
      </c>
      <c r="I27" s="5" t="n">
        <v>145</v>
      </c>
      <c r="J27" s="5" t="n">
        <v>358</v>
      </c>
      <c r="K27" s="5" t="n">
        <v>1394</v>
      </c>
    </row>
    <row r="28">
      <c r="A28" s="2" t="inlineStr">
        <is>
          <t>Altre immobilizzazioni immateriali (migliorie su beni di terzi)</t>
        </is>
      </c>
      <c r="B28" s="2" t="inlineStr">
        <is>
          <t>Migliorie su beni di terzi: illuminazione e insonorizzazione open space</t>
        </is>
      </c>
      <c r="C28" s="3" t="n">
        <v>45520</v>
      </c>
      <c r="D28" s="4" t="n">
        <v>0.2</v>
      </c>
      <c r="E28" s="5" t="n">
        <v>2028</v>
      </c>
      <c r="F28" s="5" t="n">
        <v>0</v>
      </c>
      <c r="G28" s="5" t="n">
        <v>2028</v>
      </c>
      <c r="H28" s="5" t="n">
        <v>85</v>
      </c>
      <c r="I28" s="5" t="n">
        <v>168</v>
      </c>
      <c r="J28" s="5" t="n">
        <v>253</v>
      </c>
      <c r="K28" s="5" t="n">
        <v>1775</v>
      </c>
    </row>
    <row r="29">
      <c r="A29" s="2" t="inlineStr">
        <is>
          <t>Altre immobilizzazioni immateriali (migliorie su beni di terzi)</t>
        </is>
      </c>
      <c r="B29" s="2" t="inlineStr">
        <is>
          <t>Migliorie su beni di terzi: rifacimento dei servizi e dell'area ristoro</t>
        </is>
      </c>
      <c r="C29" s="3" t="n">
        <v>45832</v>
      </c>
      <c r="D29" s="4" t="n">
        <v>0.2</v>
      </c>
      <c r="E29" s="5" t="n">
        <v>0</v>
      </c>
      <c r="F29" s="5" t="n">
        <v>2184</v>
      </c>
      <c r="G29" s="5" t="n">
        <v>2184</v>
      </c>
      <c r="H29" s="5" t="n">
        <v>0</v>
      </c>
      <c r="I29" s="5" t="n">
        <v>90</v>
      </c>
      <c r="J29" s="5" t="n">
        <v>90</v>
      </c>
      <c r="K29" s="5" t="n">
        <v>2094</v>
      </c>
    </row>
    <row r="30">
      <c r="A30" s="2" t="inlineStr">
        <is>
          <t>Impianti e macchinario (impianti di rete e cablaggio)</t>
        </is>
      </c>
      <c r="B30" s="2" t="inlineStr">
        <is>
          <t>Cablaggio strutturato degli uffici di via Garibaldi</t>
        </is>
      </c>
      <c r="C30" s="3" t="n">
        <v>42835</v>
      </c>
      <c r="D30" s="4" t="n">
        <v>0.15</v>
      </c>
      <c r="E30" s="5" t="n">
        <v>9800</v>
      </c>
      <c r="F30" s="5" t="n">
        <v>0</v>
      </c>
      <c r="G30" s="5" t="n">
        <v>9800</v>
      </c>
      <c r="H30" s="5" t="n">
        <v>9800</v>
      </c>
      <c r="I30" s="5" t="n">
        <v>0</v>
      </c>
      <c r="J30" s="5" t="n">
        <v>9800</v>
      </c>
      <c r="K30" s="5" t="n">
        <v>0</v>
      </c>
    </row>
    <row r="31">
      <c r="A31" s="2" t="inlineStr">
        <is>
          <t>Impianti e macchinario (impianti di rete e cablaggio)</t>
        </is>
      </c>
      <c r="B31" s="2" t="inlineStr">
        <is>
          <t>Impianto di condizionamento della sede</t>
        </is>
      </c>
      <c r="C31" s="3" t="n">
        <v>43275</v>
      </c>
      <c r="D31" s="4" t="n">
        <v>0.15</v>
      </c>
      <c r="E31" s="5" t="n">
        <v>8400</v>
      </c>
      <c r="F31" s="5" t="n">
        <v>0</v>
      </c>
      <c r="G31" s="5" t="n">
        <v>8400</v>
      </c>
      <c r="H31" s="5" t="n">
        <v>7695</v>
      </c>
      <c r="I31" s="5" t="n">
        <v>705</v>
      </c>
      <c r="J31" s="5" t="n">
        <v>8400</v>
      </c>
      <c r="K31" s="5" t="n">
        <v>0</v>
      </c>
    </row>
    <row r="32">
      <c r="A32" s="2" t="inlineStr">
        <is>
          <t>Impianti e macchinario (impianti di rete e cablaggio)</t>
        </is>
      </c>
      <c r="B32" s="2" t="inlineStr">
        <is>
          <t>Impianto di videosorveglianza e controllo accessi</t>
        </is>
      </c>
      <c r="C32" s="3" t="n">
        <v>44112</v>
      </c>
      <c r="D32" s="4" t="n">
        <v>0.15</v>
      </c>
      <c r="E32" s="5" t="n">
        <v>5600</v>
      </c>
      <c r="F32" s="5" t="n">
        <v>0</v>
      </c>
      <c r="G32" s="5" t="n">
        <v>5600</v>
      </c>
      <c r="H32" s="5" t="n">
        <v>3359</v>
      </c>
      <c r="I32" s="5" t="n">
        <v>827</v>
      </c>
      <c r="J32" s="5" t="n">
        <v>4186</v>
      </c>
      <c r="K32" s="5" t="n">
        <v>1414</v>
      </c>
    </row>
    <row r="33">
      <c r="A33" s="2" t="inlineStr">
        <is>
          <t>Impianti e macchinario (impianti di rete e cablaggio)</t>
        </is>
      </c>
      <c r="B33" s="2" t="inlineStr">
        <is>
          <t>Impianto elettrico di continuità (UPS) della sala server</t>
        </is>
      </c>
      <c r="C33" s="3" t="n">
        <v>44280</v>
      </c>
      <c r="D33" s="4" t="n">
        <v>0.15</v>
      </c>
      <c r="E33" s="5" t="n">
        <v>4200</v>
      </c>
      <c r="F33" s="5" t="n">
        <v>0</v>
      </c>
      <c r="G33" s="5" t="n">
        <v>4200</v>
      </c>
      <c r="H33" s="5" t="n">
        <v>1855</v>
      </c>
      <c r="I33" s="5" t="n">
        <v>620</v>
      </c>
      <c r="J33" s="5" t="n">
        <v>2475</v>
      </c>
      <c r="K33" s="5" t="n">
        <v>1725</v>
      </c>
    </row>
    <row r="34">
      <c r="A34" s="2" t="inlineStr">
        <is>
          <t>Impianti e macchinario (impianti di rete e cablaggio)</t>
        </is>
      </c>
      <c r="B34" s="2" t="inlineStr">
        <is>
          <t>Impianto di rete wireless degli uffici</t>
        </is>
      </c>
      <c r="C34" s="3" t="n">
        <v>44698</v>
      </c>
      <c r="D34" s="4" t="n">
        <v>0.15</v>
      </c>
      <c r="E34" s="5" t="n">
        <v>2796</v>
      </c>
      <c r="F34" s="5" t="n">
        <v>0</v>
      </c>
      <c r="G34" s="5" t="n">
        <v>2796</v>
      </c>
      <c r="H34" s="5" t="n">
        <v>682</v>
      </c>
      <c r="I34" s="5" t="n">
        <v>413</v>
      </c>
      <c r="J34" s="5" t="n">
        <v>1095</v>
      </c>
      <c r="K34" s="5" t="n">
        <v>1701</v>
      </c>
    </row>
    <row r="35">
      <c r="A35" s="2" t="inlineStr">
        <is>
          <t>Impianti e macchinario (impianti di rete e cablaggio)</t>
        </is>
      </c>
      <c r="B35" s="2" t="inlineStr">
        <is>
          <t>Impianto di rilevazione presenze e domotica leggera</t>
        </is>
      </c>
      <c r="C35" s="3" t="n">
        <v>45192</v>
      </c>
      <c r="D35" s="4" t="n">
        <v>0.15</v>
      </c>
      <c r="E35" s="5" t="n">
        <v>3708</v>
      </c>
      <c r="F35" s="5" t="n">
        <v>0</v>
      </c>
      <c r="G35" s="5" t="n">
        <v>3708</v>
      </c>
      <c r="H35" s="5" t="n">
        <v>599</v>
      </c>
      <c r="I35" s="5" t="n">
        <v>547</v>
      </c>
      <c r="J35" s="5" t="n">
        <v>1146</v>
      </c>
      <c r="K35" s="5" t="n">
        <v>2562</v>
      </c>
    </row>
    <row r="36">
      <c r="A36" s="2" t="inlineStr">
        <is>
          <t>Impianti e macchinario (impianti di rete e cablaggio)</t>
        </is>
      </c>
      <c r="B36" s="2" t="inlineStr">
        <is>
          <t>Impianto di audio-videoconferenza della sala riunioni</t>
        </is>
      </c>
      <c r="C36" s="3" t="n">
        <v>45482</v>
      </c>
      <c r="D36" s="4" t="n">
        <v>0.15</v>
      </c>
      <c r="E36" s="5" t="n">
        <v>4392</v>
      </c>
      <c r="F36" s="5" t="n">
        <v>0</v>
      </c>
      <c r="G36" s="5" t="n">
        <v>4392</v>
      </c>
      <c r="H36" s="5" t="n">
        <v>259</v>
      </c>
      <c r="I36" s="5" t="n">
        <v>649</v>
      </c>
      <c r="J36" s="5" t="n">
        <v>908</v>
      </c>
      <c r="K36" s="5" t="n">
        <v>3484</v>
      </c>
    </row>
    <row r="37">
      <c r="A37" s="2" t="inlineStr">
        <is>
          <t>Impianti e macchinario (impianti di rete e cablaggio)</t>
        </is>
      </c>
      <c r="B37" s="2" t="inlineStr">
        <is>
          <t>Impianto di ricarica elettrica per veicoli aziendali</t>
        </is>
      </c>
      <c r="C37" s="3" t="n">
        <v>45976</v>
      </c>
      <c r="D37" s="4" t="n">
        <v>0.15</v>
      </c>
      <c r="E37" s="5" t="n">
        <v>0</v>
      </c>
      <c r="F37" s="5" t="n">
        <v>4884</v>
      </c>
      <c r="G37" s="5" t="n">
        <v>4884</v>
      </c>
      <c r="H37" s="5" t="n">
        <v>0</v>
      </c>
      <c r="I37" s="5" t="n">
        <v>360</v>
      </c>
      <c r="J37" s="5" t="n">
        <v>360</v>
      </c>
      <c r="K37" s="5" t="n">
        <v>4524</v>
      </c>
    </row>
    <row r="38">
      <c r="A38" s="2" t="inlineStr">
        <is>
          <t>Attrezzature industriali e commerciali (server e apparati di test)</t>
        </is>
      </c>
      <c r="B38" s="2" t="inlineStr">
        <is>
          <t>Server di produzione (cluster di tre nodi)</t>
        </is>
      </c>
      <c r="C38" s="3" t="n">
        <v>43237</v>
      </c>
      <c r="D38" s="4" t="n">
        <v>0.2</v>
      </c>
      <c r="E38" s="5" t="n">
        <v>18300</v>
      </c>
      <c r="F38" s="5" t="n">
        <v>0</v>
      </c>
      <c r="G38" s="5" t="n">
        <v>18300</v>
      </c>
      <c r="H38" s="5" t="n">
        <v>18300</v>
      </c>
      <c r="I38" s="5" t="n">
        <v>0</v>
      </c>
      <c r="J38" s="5" t="n">
        <v>18300</v>
      </c>
      <c r="K38" s="5" t="n">
        <v>0</v>
      </c>
    </row>
    <row r="39">
      <c r="A39" s="2" t="inlineStr">
        <is>
          <t>Attrezzature industriali e commerciali (server e apparati di test)</t>
        </is>
      </c>
      <c r="B39" s="2" t="inlineStr">
        <is>
          <t>Server di test e integrazione</t>
        </is>
      </c>
      <c r="C39" s="3" t="n">
        <v>43731</v>
      </c>
      <c r="D39" s="4" t="n">
        <v>0.2</v>
      </c>
      <c r="E39" s="5" t="n">
        <v>12200</v>
      </c>
      <c r="F39" s="5" t="n">
        <v>0</v>
      </c>
      <c r="G39" s="5" t="n">
        <v>12200</v>
      </c>
      <c r="H39" s="5" t="n">
        <v>12200</v>
      </c>
      <c r="I39" s="5" t="n">
        <v>0</v>
      </c>
      <c r="J39" s="5" t="n">
        <v>12200</v>
      </c>
      <c r="K39" s="5" t="n">
        <v>0</v>
      </c>
    </row>
    <row r="40">
      <c r="A40" s="2" t="inlineStr">
        <is>
          <t>Attrezzature industriali e commerciali (server e apparati di test)</t>
        </is>
      </c>
      <c r="B40" s="2" t="inlineStr">
        <is>
          <t>Apparati di rete e firewall di perimetro</t>
        </is>
      </c>
      <c r="C40" s="3" t="n">
        <v>43879</v>
      </c>
      <c r="D40" s="4" t="n">
        <v>0.2</v>
      </c>
      <c r="E40" s="5" t="n">
        <v>12200</v>
      </c>
      <c r="F40" s="5" t="n">
        <v>0</v>
      </c>
      <c r="G40" s="5" t="n">
        <v>12200</v>
      </c>
      <c r="H40" s="5" t="n">
        <v>9687</v>
      </c>
      <c r="I40" s="5" t="n">
        <v>1758</v>
      </c>
      <c r="J40" s="5" t="n">
        <v>11445</v>
      </c>
      <c r="K40" s="5" t="n">
        <v>755</v>
      </c>
    </row>
    <row r="41">
      <c r="A41" s="2" t="inlineStr">
        <is>
          <t>Attrezzature industriali e commerciali (server e apparati di test)</t>
        </is>
      </c>
      <c r="B41" s="2" t="inlineStr">
        <is>
          <t>Sistema di storage e backup</t>
        </is>
      </c>
      <c r="C41" s="3" t="n">
        <v>44515</v>
      </c>
      <c r="D41" s="4" t="n">
        <v>0.2</v>
      </c>
      <c r="E41" s="5" t="n">
        <v>18300</v>
      </c>
      <c r="F41" s="5" t="n">
        <v>0</v>
      </c>
      <c r="G41" s="5" t="n">
        <v>18300</v>
      </c>
      <c r="H41" s="5" t="n">
        <v>10210</v>
      </c>
      <c r="I41" s="5" t="n">
        <v>2637</v>
      </c>
      <c r="J41" s="5" t="n">
        <v>12847</v>
      </c>
      <c r="K41" s="5" t="n">
        <v>5453</v>
      </c>
    </row>
    <row r="42">
      <c r="A42" s="2" t="inlineStr">
        <is>
          <t>Attrezzature industriali e commerciali (server e apparati di test)</t>
        </is>
      </c>
      <c r="B42" s="2" t="inlineStr">
        <is>
          <t>Parco dispositivi di test mobile (smartphone e tablet)</t>
        </is>
      </c>
      <c r="C42" s="3" t="n">
        <v>44645</v>
      </c>
      <c r="D42" s="4" t="n">
        <v>0.2</v>
      </c>
      <c r="E42" s="5" t="n">
        <v>6058</v>
      </c>
      <c r="F42" s="5" t="n">
        <v>0</v>
      </c>
      <c r="G42" s="5" t="n">
        <v>6058</v>
      </c>
      <c r="H42" s="5" t="n">
        <v>1699</v>
      </c>
      <c r="I42" s="5" t="n">
        <v>873</v>
      </c>
      <c r="J42" s="5" t="n">
        <v>2572</v>
      </c>
      <c r="K42" s="5" t="n">
        <v>3486</v>
      </c>
    </row>
    <row r="43">
      <c r="A43" s="2" t="inlineStr">
        <is>
          <t>Attrezzature industriali e commerciali (server e apparati di test)</t>
        </is>
      </c>
      <c r="B43" s="2" t="inlineStr">
        <is>
          <t>Nodo aggiuntivo di calcolo per la piattaforma</t>
        </is>
      </c>
      <c r="C43" s="3" t="n">
        <v>45101</v>
      </c>
      <c r="D43" s="4" t="n">
        <v>0.2</v>
      </c>
      <c r="E43" s="5" t="n">
        <v>8034</v>
      </c>
      <c r="F43" s="5" t="n">
        <v>0</v>
      </c>
      <c r="G43" s="5" t="n">
        <v>8034</v>
      </c>
      <c r="H43" s="5" t="n">
        <v>1471</v>
      </c>
      <c r="I43" s="5" t="n">
        <v>1158</v>
      </c>
      <c r="J43" s="5" t="n">
        <v>2629</v>
      </c>
      <c r="K43" s="5" t="n">
        <v>5405</v>
      </c>
    </row>
    <row r="44">
      <c r="A44" s="2" t="inlineStr">
        <is>
          <t>Attrezzature industriali e commerciali (server e apparati di test)</t>
        </is>
      </c>
      <c r="B44" s="2" t="inlineStr">
        <is>
          <t>Apparati di laboratorio dati di corso Francia</t>
        </is>
      </c>
      <c r="C44" s="3" t="n">
        <v>45573</v>
      </c>
      <c r="D44" s="4" t="n">
        <v>0.2</v>
      </c>
      <c r="E44" s="5" t="n">
        <v>9516</v>
      </c>
      <c r="F44" s="5" t="n">
        <v>0</v>
      </c>
      <c r="G44" s="5" t="n">
        <v>9516</v>
      </c>
      <c r="H44" s="5" t="n">
        <v>604</v>
      </c>
      <c r="I44" s="5" t="n">
        <v>1371</v>
      </c>
      <c r="J44" s="5" t="n">
        <v>1975</v>
      </c>
      <c r="K44" s="5" t="n">
        <v>7541</v>
      </c>
    </row>
    <row r="45">
      <c r="A45" s="2" t="inlineStr">
        <is>
          <t>Attrezzature industriali e commerciali (server e apparati di test)</t>
        </is>
      </c>
      <c r="B45" s="2" t="inlineStr">
        <is>
          <t>Rinnovo del sistema di storage e backup</t>
        </is>
      </c>
      <c r="C45" s="3" t="n">
        <v>45757</v>
      </c>
      <c r="D45" s="4" t="n">
        <v>0.2</v>
      </c>
      <c r="E45" s="5" t="n">
        <v>0</v>
      </c>
      <c r="F45" s="5" t="n">
        <v>10582</v>
      </c>
      <c r="G45" s="5" t="n">
        <v>10582</v>
      </c>
      <c r="H45" s="5" t="n">
        <v>0</v>
      </c>
      <c r="I45" s="5" t="n">
        <v>762</v>
      </c>
      <c r="J45" s="5" t="n">
        <v>762</v>
      </c>
      <c r="K45" s="5" t="n">
        <v>9820</v>
      </c>
    </row>
    <row r="46">
      <c r="A46" s="2" t="inlineStr">
        <is>
          <t>Altri beni: macchine d'ufficio elettroniche</t>
        </is>
      </c>
      <c r="B46" s="2" t="inlineStr">
        <is>
          <t>Workstation di sviluppo (primo lotto)</t>
        </is>
      </c>
      <c r="C46" s="3" t="n">
        <v>42872</v>
      </c>
      <c r="D46" s="4" t="n">
        <v>0.2</v>
      </c>
      <c r="E46" s="5" t="n">
        <v>16800</v>
      </c>
      <c r="F46" s="5" t="n">
        <v>0</v>
      </c>
      <c r="G46" s="5" t="n">
        <v>16800</v>
      </c>
      <c r="H46" s="5" t="n">
        <v>16800</v>
      </c>
      <c r="I46" s="5" t="n">
        <v>0</v>
      </c>
      <c r="J46" s="5" t="n">
        <v>16800</v>
      </c>
      <c r="K46" s="5" t="n">
        <v>0</v>
      </c>
    </row>
    <row r="47">
      <c r="A47" s="2" t="inlineStr">
        <is>
          <t>Altri beni: macchine d'ufficio elettroniche</t>
        </is>
      </c>
      <c r="B47" s="2" t="inlineStr">
        <is>
          <t>Notebook di sviluppo (secondo lotto)</t>
        </is>
      </c>
      <c r="C47" s="3" t="n">
        <v>43549</v>
      </c>
      <c r="D47" s="4" t="n">
        <v>0.2</v>
      </c>
      <c r="E47" s="5" t="n">
        <v>25200</v>
      </c>
      <c r="F47" s="5" t="n">
        <v>0</v>
      </c>
      <c r="G47" s="5" t="n">
        <v>25200</v>
      </c>
      <c r="H47" s="5" t="n">
        <v>25200</v>
      </c>
      <c r="I47" s="5" t="n">
        <v>0</v>
      </c>
      <c r="J47" s="5" t="n">
        <v>25200</v>
      </c>
      <c r="K47" s="5" t="n">
        <v>0</v>
      </c>
    </row>
    <row r="48">
      <c r="A48" s="2" t="inlineStr">
        <is>
          <t>Altri beni: macchine d'ufficio elettroniche</t>
        </is>
      </c>
      <c r="B48" s="2" t="inlineStr">
        <is>
          <t>Monitor 27 pollici (lotto)</t>
        </is>
      </c>
      <c r="C48" s="3" t="n">
        <v>44097</v>
      </c>
      <c r="D48" s="4" t="n">
        <v>0.2</v>
      </c>
      <c r="E48" s="5" t="n">
        <v>12600</v>
      </c>
      <c r="F48" s="5" t="n">
        <v>0</v>
      </c>
      <c r="G48" s="5" t="n">
        <v>12600</v>
      </c>
      <c r="H48" s="5" t="n">
        <v>12600</v>
      </c>
      <c r="I48" s="5" t="n">
        <v>0</v>
      </c>
      <c r="J48" s="5" t="n">
        <v>12600</v>
      </c>
      <c r="K48" s="5" t="n">
        <v>0</v>
      </c>
    </row>
    <row r="49">
      <c r="A49" s="2" t="inlineStr">
        <is>
          <t>Altri beni: macchine d'ufficio elettroniche</t>
        </is>
      </c>
      <c r="B49" s="2" t="inlineStr">
        <is>
          <t>Stazione di lavoro grafica per la progettazione UX</t>
        </is>
      </c>
      <c r="C49" s="3" t="n">
        <v>44371</v>
      </c>
      <c r="D49" s="4" t="n">
        <v>0.2</v>
      </c>
      <c r="E49" s="5" t="n">
        <v>12600</v>
      </c>
      <c r="F49" s="5" t="n">
        <v>0</v>
      </c>
      <c r="G49" s="5" t="n">
        <v>12600</v>
      </c>
      <c r="H49" s="5" t="n">
        <v>10433</v>
      </c>
      <c r="I49" s="5" t="n">
        <v>2142</v>
      </c>
      <c r="J49" s="5" t="n">
        <v>12575</v>
      </c>
      <c r="K49" s="5" t="n">
        <v>25</v>
      </c>
    </row>
    <row r="50">
      <c r="A50" s="2" t="inlineStr">
        <is>
          <t>Altri beni: macchine d'ufficio elettroniche</t>
        </is>
      </c>
      <c r="B50" s="2" t="inlineStr">
        <is>
          <t>Notebook di sviluppo (terzo lotto)</t>
        </is>
      </c>
      <c r="C50" s="3" t="n">
        <v>44477</v>
      </c>
      <c r="D50" s="4" t="n">
        <v>0.2</v>
      </c>
      <c r="E50" s="5" t="n">
        <v>16800</v>
      </c>
      <c r="F50" s="5" t="n">
        <v>0</v>
      </c>
      <c r="G50" s="5" t="n">
        <v>16800</v>
      </c>
      <c r="H50" s="5" t="n">
        <v>13913</v>
      </c>
      <c r="I50" s="5" t="n">
        <v>2857</v>
      </c>
      <c r="J50" s="5" t="n">
        <v>16770</v>
      </c>
      <c r="K50" s="5" t="n">
        <v>30</v>
      </c>
    </row>
    <row r="51">
      <c r="A51" s="2" t="inlineStr">
        <is>
          <t>Altri beni: macchine d'ufficio elettroniche</t>
        </is>
      </c>
      <c r="B51" s="2" t="inlineStr">
        <is>
          <t>Workstation di sviluppo e notebook (lotto 2022)</t>
        </is>
      </c>
      <c r="C51" s="3" t="n">
        <v>44661</v>
      </c>
      <c r="D51" s="4" t="n">
        <v>0.2</v>
      </c>
      <c r="E51" s="5" t="n">
        <v>10252</v>
      </c>
      <c r="F51" s="5" t="n">
        <v>0</v>
      </c>
      <c r="G51" s="5" t="n">
        <v>10252</v>
      </c>
      <c r="H51" s="5" t="n">
        <v>4197</v>
      </c>
      <c r="I51" s="5" t="n">
        <v>1743</v>
      </c>
      <c r="J51" s="5" t="n">
        <v>5940</v>
      </c>
      <c r="K51" s="5" t="n">
        <v>4312</v>
      </c>
    </row>
    <row r="52">
      <c r="A52" s="2" t="inlineStr">
        <is>
          <t>Altri beni: macchine d'ufficio elettroniche</t>
        </is>
      </c>
      <c r="B52" s="2" t="inlineStr">
        <is>
          <t>Notebook e dispositivi per i nuovi assunti (lotto 2023)</t>
        </is>
      </c>
      <c r="C52" s="3" t="n">
        <v>45154</v>
      </c>
      <c r="D52" s="4" t="n">
        <v>0.2</v>
      </c>
      <c r="E52" s="5" t="n">
        <v>13596</v>
      </c>
      <c r="F52" s="5" t="n">
        <v>0</v>
      </c>
      <c r="G52" s="5" t="n">
        <v>13596</v>
      </c>
      <c r="H52" s="5" t="n">
        <v>3612</v>
      </c>
      <c r="I52" s="5" t="n">
        <v>2312</v>
      </c>
      <c r="J52" s="5" t="n">
        <v>5924</v>
      </c>
      <c r="K52" s="5" t="n">
        <v>7672</v>
      </c>
    </row>
    <row r="53">
      <c r="A53" s="2" t="inlineStr">
        <is>
          <t>Altri beni: macchine d'ufficio elettroniche</t>
        </is>
      </c>
      <c r="B53" s="2" t="inlineStr">
        <is>
          <t>Notebook, monitor e dock per i nuovi assunti (lotto 2024)</t>
        </is>
      </c>
      <c r="C53" s="3" t="n">
        <v>45429</v>
      </c>
      <c r="D53" s="4" t="n">
        <v>0.2</v>
      </c>
      <c r="E53" s="5" t="n">
        <v>16104</v>
      </c>
      <c r="F53" s="5" t="n">
        <v>0</v>
      </c>
      <c r="G53" s="5" t="n">
        <v>16104</v>
      </c>
      <c r="H53" s="5" t="n">
        <v>1511</v>
      </c>
      <c r="I53" s="5" t="n">
        <v>2738</v>
      </c>
      <c r="J53" s="5" t="n">
        <v>4249</v>
      </c>
      <c r="K53" s="5" t="n">
        <v>11855</v>
      </c>
    </row>
    <row r="54">
      <c r="A54" s="2" t="inlineStr">
        <is>
          <t>Altri beni: macchine d'ufficio elettroniche</t>
        </is>
      </c>
      <c r="B54" s="2" t="inlineStr">
        <is>
          <t>Notebook e stazioni di lavoro per i nuovi assunti (lotto 2025)</t>
        </is>
      </c>
      <c r="C54" s="3" t="n">
        <v>45923</v>
      </c>
      <c r="D54" s="4" t="n">
        <v>0.2</v>
      </c>
      <c r="E54" s="5" t="n">
        <v>0</v>
      </c>
      <c r="F54" s="5" t="n">
        <v>17908</v>
      </c>
      <c r="G54" s="5" t="n">
        <v>17908</v>
      </c>
      <c r="H54" s="5" t="n">
        <v>0</v>
      </c>
      <c r="I54" s="5" t="n">
        <v>1522</v>
      </c>
      <c r="J54" s="5" t="n">
        <v>1522</v>
      </c>
      <c r="K54" s="5" t="n">
        <v>16386</v>
      </c>
    </row>
    <row r="55">
      <c r="A55" s="2" t="inlineStr">
        <is>
          <t>Altri beni: mobili e arredi</t>
        </is>
      </c>
      <c r="B55" s="2" t="inlineStr">
        <is>
          <t>Scrivanie operative (lotto iniziale)</t>
        </is>
      </c>
      <c r="C55" s="3" t="n">
        <v>42784</v>
      </c>
      <c r="D55" s="4" t="n">
        <v>0.12</v>
      </c>
      <c r="E55" s="5" t="n">
        <v>11025</v>
      </c>
      <c r="F55" s="5" t="n">
        <v>0</v>
      </c>
      <c r="G55" s="5" t="n">
        <v>11025</v>
      </c>
      <c r="H55" s="5" t="n">
        <v>9283</v>
      </c>
      <c r="I55" s="5" t="n">
        <v>935</v>
      </c>
      <c r="J55" s="5" t="n">
        <v>10218</v>
      </c>
      <c r="K55" s="5" t="n">
        <v>807</v>
      </c>
    </row>
    <row r="56">
      <c r="A56" s="2" t="inlineStr">
        <is>
          <t>Altri beni: mobili e arredi</t>
        </is>
      </c>
      <c r="B56" s="2" t="inlineStr">
        <is>
          <t>Sedie ergonomiche (lotto iniziale)</t>
        </is>
      </c>
      <c r="C56" s="3" t="n">
        <v>42784</v>
      </c>
      <c r="D56" s="4" t="n">
        <v>0.12</v>
      </c>
      <c r="E56" s="5" t="n">
        <v>6300</v>
      </c>
      <c r="F56" s="5" t="n">
        <v>0</v>
      </c>
      <c r="G56" s="5" t="n">
        <v>6300</v>
      </c>
      <c r="H56" s="5" t="n">
        <v>5305</v>
      </c>
      <c r="I56" s="5" t="n">
        <v>535</v>
      </c>
      <c r="J56" s="5" t="n">
        <v>5840</v>
      </c>
      <c r="K56" s="5" t="n">
        <v>460</v>
      </c>
    </row>
    <row r="57">
      <c r="A57" s="2" t="inlineStr">
        <is>
          <t>Altri beni: mobili e arredi</t>
        </is>
      </c>
      <c r="B57" s="2" t="inlineStr">
        <is>
          <t>Armadi e arredi della sala riunioni</t>
        </is>
      </c>
      <c r="C57" s="3" t="n">
        <v>43784</v>
      </c>
      <c r="D57" s="4" t="n">
        <v>0.12</v>
      </c>
      <c r="E57" s="5" t="n">
        <v>7875</v>
      </c>
      <c r="F57" s="5" t="n">
        <v>0</v>
      </c>
      <c r="G57" s="5" t="n">
        <v>7875</v>
      </c>
      <c r="H57" s="5" t="n">
        <v>4672</v>
      </c>
      <c r="I57" s="5" t="n">
        <v>668</v>
      </c>
      <c r="J57" s="5" t="n">
        <v>5340</v>
      </c>
      <c r="K57" s="5" t="n">
        <v>2535</v>
      </c>
    </row>
    <row r="58">
      <c r="A58" s="2" t="inlineStr">
        <is>
          <t>Altri beni: mobili e arredi</t>
        </is>
      </c>
      <c r="B58" s="2" t="inlineStr">
        <is>
          <t>Arredi del laboratorio dati di corso Francia</t>
        </is>
      </c>
      <c r="C58" s="3" t="n">
        <v>44462</v>
      </c>
      <c r="D58" s="4" t="n">
        <v>0.12</v>
      </c>
      <c r="E58" s="5" t="n">
        <v>6300</v>
      </c>
      <c r="F58" s="5" t="n">
        <v>0</v>
      </c>
      <c r="G58" s="5" t="n">
        <v>6300</v>
      </c>
      <c r="H58" s="5" t="n">
        <v>2170</v>
      </c>
      <c r="I58" s="5" t="n">
        <v>534</v>
      </c>
      <c r="J58" s="5" t="n">
        <v>2704</v>
      </c>
      <c r="K58" s="5" t="n">
        <v>3596</v>
      </c>
    </row>
    <row r="59">
      <c r="A59" s="2" t="inlineStr">
        <is>
          <t>Altri beni: mobili e arredi</t>
        </is>
      </c>
      <c r="B59" s="2" t="inlineStr">
        <is>
          <t>Scrivanie e sedie per l'ampliamento dell'organico (2022)</t>
        </is>
      </c>
      <c r="C59" s="3" t="n">
        <v>44698</v>
      </c>
      <c r="D59" s="4" t="n">
        <v>0.12</v>
      </c>
      <c r="E59" s="5" t="n">
        <v>2796</v>
      </c>
      <c r="F59" s="5" t="n">
        <v>0</v>
      </c>
      <c r="G59" s="5" t="n">
        <v>2796</v>
      </c>
      <c r="H59" s="5" t="n">
        <v>524</v>
      </c>
      <c r="I59" s="5" t="n">
        <v>237</v>
      </c>
      <c r="J59" s="5" t="n">
        <v>761</v>
      </c>
      <c r="K59" s="5" t="n">
        <v>2035</v>
      </c>
    </row>
    <row r="60">
      <c r="A60" s="2" t="inlineStr">
        <is>
          <t>Altri beni: mobili e arredi</t>
        </is>
      </c>
      <c r="B60" s="2" t="inlineStr">
        <is>
          <t>Arredi e scrivanie regolabili (2023)</t>
        </is>
      </c>
      <c r="C60" s="3" t="n">
        <v>45116</v>
      </c>
      <c r="D60" s="4" t="n">
        <v>0.12</v>
      </c>
      <c r="E60" s="5" t="n">
        <v>3708</v>
      </c>
      <c r="F60" s="5" t="n">
        <v>0</v>
      </c>
      <c r="G60" s="5" t="n">
        <v>3708</v>
      </c>
      <c r="H60" s="5" t="n">
        <v>441</v>
      </c>
      <c r="I60" s="5" t="n">
        <v>315</v>
      </c>
      <c r="J60" s="5" t="n">
        <v>756</v>
      </c>
      <c r="K60" s="5" t="n">
        <v>2952</v>
      </c>
    </row>
    <row r="61">
      <c r="A61" s="2" t="inlineStr">
        <is>
          <t>Altri beni: mobili e arredi</t>
        </is>
      </c>
      <c r="B61" s="2" t="inlineStr">
        <is>
          <t>Arredi per la sala formazione (2024)</t>
        </is>
      </c>
      <c r="C61" s="3" t="n">
        <v>45558</v>
      </c>
      <c r="D61" s="4" t="n">
        <v>0.12</v>
      </c>
      <c r="E61" s="5" t="n">
        <v>4392</v>
      </c>
      <c r="F61" s="5" t="n">
        <v>0</v>
      </c>
      <c r="G61" s="5" t="n">
        <v>4392</v>
      </c>
      <c r="H61" s="5" t="n">
        <v>181</v>
      </c>
      <c r="I61" s="5" t="n">
        <v>373</v>
      </c>
      <c r="J61" s="5" t="n">
        <v>554</v>
      </c>
      <c r="K61" s="5" t="n">
        <v>3838</v>
      </c>
    </row>
    <row r="62">
      <c r="A62" s="2" t="inlineStr">
        <is>
          <t>Altri beni: mobili e arredi</t>
        </is>
      </c>
      <c r="B62" s="2" t="inlineStr">
        <is>
          <t>Arredi e sedute per i nuovi postazioni di lavoro (2025)</t>
        </is>
      </c>
      <c r="C62" s="3" t="n">
        <v>45938</v>
      </c>
      <c r="D62" s="4" t="n">
        <v>0.12</v>
      </c>
      <c r="E62" s="5" t="n">
        <v>0</v>
      </c>
      <c r="F62" s="5" t="n">
        <v>4884</v>
      </c>
      <c r="G62" s="5" t="n">
        <v>4884</v>
      </c>
      <c r="H62" s="5" t="n">
        <v>0</v>
      </c>
      <c r="I62" s="5" t="n">
        <v>207</v>
      </c>
      <c r="J62" s="5" t="n">
        <v>207</v>
      </c>
      <c r="K62" s="5" t="n">
        <v>4677</v>
      </c>
    </row>
    <row r="63">
      <c r="A63" s="2" t="inlineStr">
        <is>
          <t>Altri beni: autovetture e mezzi di trasporto interni</t>
        </is>
      </c>
      <c r="B63" s="2" t="inlineStr">
        <is>
          <t>Autovettura aziendale ibrida di proprietà</t>
        </is>
      </c>
      <c r="C63" s="3" t="n">
        <v>43602</v>
      </c>
      <c r="D63" s="4" t="n">
        <v>0.25</v>
      </c>
      <c r="E63" s="5" t="n">
        <v>18000</v>
      </c>
      <c r="F63" s="5" t="n">
        <v>0</v>
      </c>
      <c r="G63" s="5" t="n">
        <v>18000</v>
      </c>
      <c r="H63" s="5" t="n">
        <v>13526</v>
      </c>
      <c r="I63" s="5" t="n">
        <v>1388</v>
      </c>
      <c r="J63" s="5" t="n">
        <v>14914</v>
      </c>
      <c r="K63" s="5" t="n">
        <v>3086</v>
      </c>
    </row>
    <row r="64">
      <c r="A64" s="2" t="inlineStr">
        <is>
          <t>Altri beni: autovetture e mezzi di trasporto interni</t>
        </is>
      </c>
      <c r="B64" s="2" t="inlineStr">
        <is>
          <t>Dotazioni e allestimenti delle autovetture aziendali (2022)</t>
        </is>
      </c>
      <c r="C64" s="3" t="n">
        <v>44736</v>
      </c>
      <c r="D64" s="4" t="n">
        <v>0.25</v>
      </c>
      <c r="E64" s="5" t="n">
        <v>1398</v>
      </c>
      <c r="F64" s="5" t="n">
        <v>0</v>
      </c>
      <c r="G64" s="5" t="n">
        <v>1398</v>
      </c>
      <c r="H64" s="5" t="n">
        <v>234</v>
      </c>
      <c r="I64" s="5" t="n">
        <v>108</v>
      </c>
      <c r="J64" s="5" t="n">
        <v>342</v>
      </c>
      <c r="K64" s="5" t="n">
        <v>1056</v>
      </c>
    </row>
    <row r="65">
      <c r="A65" s="2" t="inlineStr">
        <is>
          <t>Altri beni: autovetture e mezzi di trasporto interni</t>
        </is>
      </c>
      <c r="B65" s="2" t="inlineStr">
        <is>
          <t>Dotazioni e allestimenti delle autovetture aziendali (2023)</t>
        </is>
      </c>
      <c r="C65" s="3" t="n">
        <v>45101</v>
      </c>
      <c r="D65" s="4" t="n">
        <v>0.25</v>
      </c>
      <c r="E65" s="5" t="n">
        <v>1854</v>
      </c>
      <c r="F65" s="5" t="n">
        <v>0</v>
      </c>
      <c r="G65" s="5" t="n">
        <v>1854</v>
      </c>
      <c r="H65" s="5" t="n">
        <v>197</v>
      </c>
      <c r="I65" s="5" t="n">
        <v>143</v>
      </c>
      <c r="J65" s="5" t="n">
        <v>340</v>
      </c>
      <c r="K65" s="5" t="n">
        <v>1514</v>
      </c>
    </row>
    <row r="66">
      <c r="A66" s="2" t="inlineStr">
        <is>
          <t>Altri beni: autovetture e mezzi di trasporto interni</t>
        </is>
      </c>
      <c r="B66" s="2" t="inlineStr">
        <is>
          <t>Dotazioni e allestimenti delle autovetture aziendali (2024)</t>
        </is>
      </c>
      <c r="C66" s="3" t="n">
        <v>45467</v>
      </c>
      <c r="D66" s="4" t="n">
        <v>0.25</v>
      </c>
      <c r="E66" s="5" t="n">
        <v>2196</v>
      </c>
      <c r="F66" s="5" t="n">
        <v>0</v>
      </c>
      <c r="G66" s="5" t="n">
        <v>2196</v>
      </c>
      <c r="H66" s="5" t="n">
        <v>81</v>
      </c>
      <c r="I66" s="5" t="n">
        <v>169</v>
      </c>
      <c r="J66" s="5" t="n">
        <v>250</v>
      </c>
      <c r="K66" s="5" t="n">
        <v>1946</v>
      </c>
    </row>
    <row r="67">
      <c r="A67" s="2" t="inlineStr">
        <is>
          <t>Altri beni: autovetture e mezzi di trasporto interni</t>
        </is>
      </c>
      <c r="B67" s="2" t="inlineStr">
        <is>
          <t>Dotazioni e allestimenti delle autovetture aziendali (2025)</t>
        </is>
      </c>
      <c r="C67" s="3" t="n">
        <v>45832</v>
      </c>
      <c r="D67" s="4" t="n">
        <v>0.25</v>
      </c>
      <c r="E67" s="5" t="n">
        <v>0</v>
      </c>
      <c r="F67" s="5" t="n">
        <v>2442</v>
      </c>
      <c r="G67" s="5" t="n">
        <v>2442</v>
      </c>
      <c r="H67" s="5" t="n">
        <v>0</v>
      </c>
      <c r="I67" s="5" t="n">
        <v>94</v>
      </c>
      <c r="J67" s="5" t="n">
        <v>94</v>
      </c>
      <c r="K67" s="5" t="n">
        <v>2348</v>
      </c>
    </row>
    <row r="68">
      <c r="A68" s="6" t="inlineStr">
        <is>
          <t>Totale</t>
        </is>
      </c>
      <c r="B68" s="7" t="n"/>
      <c r="C68" s="7" t="n"/>
      <c r="D68" s="7" t="n"/>
      <c r="E68" s="8">
        <f>SUM(E2:E67)</f>
        <v/>
      </c>
      <c r="F68" s="8">
        <f>SUM(F2:F67)</f>
        <v/>
      </c>
      <c r="G68" s="8">
        <f>SUM(G2:G67)</f>
        <v/>
      </c>
      <c r="H68" s="8">
        <f>SUM(H2:H67)</f>
        <v/>
      </c>
      <c r="I68" s="8">
        <f>SUM(I2:I67)</f>
        <v/>
      </c>
      <c r="J68" s="8">
        <f>SUM(J2:J67)</f>
        <v/>
      </c>
      <c r="K68" s="8">
        <f>SUM(K2:K67)</f>
        <v/>
      </c>
    </row>
  </sheetData>
  <autoFilter ref="A1:K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 ht="32" customHeight="1">
      <c r="A1" s="1" t="inlineStr">
        <is>
          <t>Classe</t>
        </is>
      </c>
      <c r="B1" s="1" t="inlineStr">
        <is>
          <t>Bene</t>
        </is>
      </c>
      <c r="C1" s="1" t="inlineStr">
        <is>
          <t>Valore netto 31/12/2025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  <c r="I1" s="1" t="inlineStr">
        <is>
          <t>Residuo dopo il 2030</t>
        </is>
      </c>
    </row>
    <row r="2">
      <c r="A2" s="2" t="inlineStr">
        <is>
          <t>Costi di sviluppo</t>
        </is>
      </c>
      <c r="B2" s="2" t="inlineStr">
        <is>
          <t>Piattaforma Atlas: archivio delle regole dei bandi</t>
        </is>
      </c>
      <c r="C2" s="5" t="n">
        <v>4852</v>
      </c>
      <c r="D2" s="5" t="n">
        <v>4852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</row>
    <row r="3">
      <c r="A3" s="2" t="inlineStr">
        <is>
          <t>Costi di sviluppo</t>
        </is>
      </c>
      <c r="B3" s="2" t="inlineStr">
        <is>
          <t>Piattaforma Atlas: interfaccia web e reportistica</t>
        </is>
      </c>
      <c r="C3" s="5" t="n">
        <v>5857</v>
      </c>
      <c r="D3" s="5" t="n">
        <v>2940</v>
      </c>
      <c r="E3" s="5" t="n">
        <v>2917</v>
      </c>
      <c r="F3" s="5" t="n">
        <v>0</v>
      </c>
      <c r="G3" s="5" t="n">
        <v>0</v>
      </c>
      <c r="H3" s="5" t="n">
        <v>0</v>
      </c>
      <c r="I3" s="5" t="n">
        <v>0</v>
      </c>
    </row>
    <row r="4">
      <c r="A4" s="2" t="inlineStr">
        <is>
          <t>Costi di sviluppo</t>
        </is>
      </c>
      <c r="B4" s="2" t="inlineStr">
        <is>
          <t>Piattaforma Atlas: miglioramento del motore di stima</t>
        </is>
      </c>
      <c r="C4" s="5" t="n">
        <v>6581</v>
      </c>
      <c r="D4" s="5" t="n">
        <v>2059</v>
      </c>
      <c r="E4" s="5" t="n">
        <v>2059</v>
      </c>
      <c r="F4" s="5" t="n">
        <v>2059</v>
      </c>
      <c r="G4" s="5" t="n">
        <v>404</v>
      </c>
      <c r="H4" s="5" t="n">
        <v>0</v>
      </c>
      <c r="I4" s="5" t="n">
        <v>0</v>
      </c>
    </row>
    <row r="5">
      <c r="A5" s="2" t="inlineStr">
        <is>
          <t>Costi di sviluppo</t>
        </is>
      </c>
      <c r="B5" s="2" t="inlineStr">
        <is>
          <t>Piattaforma Atlas: motore di calcolo deterministico</t>
        </is>
      </c>
      <c r="C5" s="5" t="n">
        <v>15228</v>
      </c>
      <c r="D5" s="5" t="n">
        <v>4205</v>
      </c>
      <c r="E5" s="5" t="n">
        <v>4205</v>
      </c>
      <c r="F5" s="5" t="n">
        <v>4205</v>
      </c>
      <c r="G5" s="5" t="n">
        <v>2613</v>
      </c>
      <c r="H5" s="5" t="n">
        <v>0</v>
      </c>
      <c r="I5" s="5" t="n">
        <v>0</v>
      </c>
    </row>
    <row r="6">
      <c r="A6" s="2" t="inlineStr">
        <is>
          <t>Costi di sviluppo</t>
        </is>
      </c>
      <c r="B6" s="2" t="inlineStr">
        <is>
          <t>Piattaforma Atlas: API e integrazioni verso i gestionali</t>
        </is>
      </c>
      <c r="C6" s="5" t="n">
        <v>20131</v>
      </c>
      <c r="D6" s="5" t="n">
        <v>4867</v>
      </c>
      <c r="E6" s="5" t="n">
        <v>4867</v>
      </c>
      <c r="F6" s="5" t="n">
        <v>4867</v>
      </c>
      <c r="G6" s="5" t="n">
        <v>4867</v>
      </c>
      <c r="H6" s="5" t="n">
        <v>663</v>
      </c>
      <c r="I6" s="5" t="n">
        <v>0</v>
      </c>
    </row>
    <row r="7">
      <c r="A7" s="2" t="inlineStr">
        <is>
          <t>Costi di sviluppo</t>
        </is>
      </c>
      <c r="B7" s="2" t="inlineStr">
        <is>
          <t>Piattaforma Atlas: assistente di inserimento dati e modulo di dossier</t>
        </is>
      </c>
      <c r="C7" s="5" t="n">
        <v>24705</v>
      </c>
      <c r="D7" s="5" t="n">
        <v>5242</v>
      </c>
      <c r="E7" s="5" t="n">
        <v>5242</v>
      </c>
      <c r="F7" s="5" t="n">
        <v>5242</v>
      </c>
      <c r="G7" s="5" t="n">
        <v>5242</v>
      </c>
      <c r="H7" s="5" t="n">
        <v>3737</v>
      </c>
      <c r="I7" s="5" t="n">
        <v>0</v>
      </c>
    </row>
    <row r="8">
      <c r="A8" s="2" t="inlineStr">
        <is>
          <t>Diritti di utilizzazione di opere dell'ingegno (software applicativo)</t>
        </is>
      </c>
      <c r="B8" s="2" t="inlineStr">
        <is>
          <t>Software di contabilità e gestione paghe (licenza)</t>
        </is>
      </c>
      <c r="C8" s="5" t="n">
        <v>1235</v>
      </c>
      <c r="D8" s="5" t="n">
        <v>849</v>
      </c>
      <c r="E8" s="5" t="n">
        <v>386</v>
      </c>
      <c r="F8" s="5" t="n">
        <v>0</v>
      </c>
      <c r="G8" s="5" t="n">
        <v>0</v>
      </c>
      <c r="H8" s="5" t="n">
        <v>0</v>
      </c>
      <c r="I8" s="5" t="n">
        <v>0</v>
      </c>
    </row>
    <row r="9">
      <c r="A9" s="2" t="inlineStr">
        <is>
          <t>Diritti di utilizzazione di opere dell'ingegno (software applicativo)</t>
        </is>
      </c>
      <c r="B9" s="2" t="inlineStr">
        <is>
          <t>Software di gestione documentale e firma digitale (licenza)</t>
        </is>
      </c>
      <c r="C9" s="5" t="n">
        <v>3085</v>
      </c>
      <c r="D9" s="5" t="n">
        <v>1734</v>
      </c>
      <c r="E9" s="5" t="n">
        <v>1351</v>
      </c>
      <c r="F9" s="5" t="n">
        <v>0</v>
      </c>
      <c r="G9" s="5" t="n">
        <v>0</v>
      </c>
      <c r="H9" s="5" t="n">
        <v>0</v>
      </c>
      <c r="I9" s="5" t="n">
        <v>0</v>
      </c>
    </row>
    <row r="10">
      <c r="A10" s="2" t="inlineStr">
        <is>
          <t>Diritti di utilizzazione di opere dell'ingegno (software applicativo)</t>
        </is>
      </c>
      <c r="B10" s="2" t="inlineStr">
        <is>
          <t>Software di analisi statica del codice (licenza perpetua)</t>
        </is>
      </c>
      <c r="C10" s="5" t="n">
        <v>4390</v>
      </c>
      <c r="D10" s="5" t="n">
        <v>2008</v>
      </c>
      <c r="E10" s="5" t="n">
        <v>2008</v>
      </c>
      <c r="F10" s="5" t="n">
        <v>374</v>
      </c>
      <c r="G10" s="5" t="n">
        <v>0</v>
      </c>
      <c r="H10" s="5" t="n">
        <v>0</v>
      </c>
      <c r="I10" s="5" t="n">
        <v>0</v>
      </c>
    </row>
    <row r="11">
      <c r="A11" s="2" t="inlineStr">
        <is>
          <t>Diritti di utilizzazione di opere dell'ingegno (software applicativo)</t>
        </is>
      </c>
      <c r="B11" s="2" t="inlineStr">
        <is>
          <t>Software di monitoraggio e osservabilità (licenza perpetua)</t>
        </is>
      </c>
      <c r="C11" s="5" t="n">
        <v>5896</v>
      </c>
      <c r="D11" s="5" t="n">
        <v>2162</v>
      </c>
      <c r="E11" s="5" t="n">
        <v>2162</v>
      </c>
      <c r="F11" s="5" t="n">
        <v>1572</v>
      </c>
      <c r="G11" s="5" t="n">
        <v>0</v>
      </c>
      <c r="H11" s="5" t="n">
        <v>0</v>
      </c>
      <c r="I11" s="5" t="n">
        <v>0</v>
      </c>
    </row>
    <row r="12">
      <c r="A12" s="2" t="inlineStr">
        <is>
          <t>Concessioni, licenze, marchi e diritti simili</t>
        </is>
      </c>
      <c r="B12" s="2" t="inlineStr">
        <is>
          <t>Marchio figurativo Meridiana: registrazione e rinnovo</t>
        </is>
      </c>
      <c r="C12" s="5" t="n">
        <v>568</v>
      </c>
      <c r="D12" s="5" t="n">
        <v>568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</row>
    <row r="13">
      <c r="A13" s="2" t="inlineStr">
        <is>
          <t>Concessioni, licenze, marchi e diritti simili</t>
        </is>
      </c>
      <c r="B13" s="2" t="inlineStr">
        <is>
          <t>Certificazione ISO 9001: costi di prima certificazione</t>
        </is>
      </c>
      <c r="C13" s="5" t="n">
        <v>390</v>
      </c>
      <c r="D13" s="5" t="n">
        <v>114</v>
      </c>
      <c r="E13" s="5" t="n">
        <v>114</v>
      </c>
      <c r="F13" s="5" t="n">
        <v>114</v>
      </c>
      <c r="G13" s="5" t="n">
        <v>48</v>
      </c>
      <c r="H13" s="5" t="n">
        <v>0</v>
      </c>
      <c r="I13" s="5" t="n">
        <v>0</v>
      </c>
    </row>
    <row r="14">
      <c r="A14" s="2" t="inlineStr">
        <is>
          <t>Concessioni, licenze, marchi e diritti simili</t>
        </is>
      </c>
      <c r="B14" s="2" t="inlineStr">
        <is>
          <t>Certificazione ISO/IEC 27001: costi di prima certificazione</t>
        </is>
      </c>
      <c r="C14" s="5" t="n">
        <v>890</v>
      </c>
      <c r="D14" s="5" t="n">
        <v>234</v>
      </c>
      <c r="E14" s="5" t="n">
        <v>234</v>
      </c>
      <c r="F14" s="5" t="n">
        <v>234</v>
      </c>
      <c r="G14" s="5" t="n">
        <v>188</v>
      </c>
      <c r="H14" s="5" t="n">
        <v>0</v>
      </c>
      <c r="I14" s="5" t="n">
        <v>0</v>
      </c>
    </row>
    <row r="15">
      <c r="A15" s="2" t="inlineStr">
        <is>
          <t>Concessioni, licenze, marchi e diritti simili</t>
        </is>
      </c>
      <c r="B15" s="2" t="inlineStr">
        <is>
          <t>Licenze d'uso di certificati e domini pluriennali</t>
        </is>
      </c>
      <c r="C15" s="5" t="n">
        <v>1148</v>
      </c>
      <c r="D15" s="5" t="n">
        <v>270</v>
      </c>
      <c r="E15" s="5" t="n">
        <v>270</v>
      </c>
      <c r="F15" s="5" t="n">
        <v>270</v>
      </c>
      <c r="G15" s="5" t="n">
        <v>270</v>
      </c>
      <c r="H15" s="5" t="n">
        <v>68</v>
      </c>
      <c r="I15" s="5" t="n">
        <v>0</v>
      </c>
    </row>
    <row r="16">
      <c r="A16" s="2" t="inlineStr">
        <is>
          <t>Concessioni, licenze, marchi e diritti simili</t>
        </is>
      </c>
      <c r="B16" s="2" t="inlineStr">
        <is>
          <t>Rinnovo marchi e registrazione nome a dominio estero</t>
        </is>
      </c>
      <c r="C16" s="5" t="n">
        <v>1380</v>
      </c>
      <c r="D16" s="5" t="n">
        <v>291</v>
      </c>
      <c r="E16" s="5" t="n">
        <v>291</v>
      </c>
      <c r="F16" s="5" t="n">
        <v>291</v>
      </c>
      <c r="G16" s="5" t="n">
        <v>291</v>
      </c>
      <c r="H16" s="5" t="n">
        <v>216</v>
      </c>
      <c r="I16" s="5" t="n">
        <v>0</v>
      </c>
    </row>
    <row r="17">
      <c r="A17" s="2" t="inlineStr">
        <is>
          <t>Altre immobilizzazioni immateriali (migliorie su beni di terzi)</t>
        </is>
      </c>
      <c r="B17" s="2" t="inlineStr">
        <is>
          <t>Migliorie su beni di terzi: sala server e cablaggio dedicato</t>
        </is>
      </c>
      <c r="C17" s="5" t="n">
        <v>133</v>
      </c>
      <c r="D17" s="5" t="n">
        <v>133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2" t="inlineStr">
        <is>
          <t>Altre immobilizzazioni immateriali (migliorie su beni di terzi)</t>
        </is>
      </c>
      <c r="B18" s="2" t="inlineStr">
        <is>
          <t>Migliorie su beni di terzi: unità locale di corso Francia (laboratorio dati)</t>
        </is>
      </c>
      <c r="C18" s="5" t="n">
        <v>3640</v>
      </c>
      <c r="D18" s="5" t="n">
        <v>1500</v>
      </c>
      <c r="E18" s="5" t="n">
        <v>1500</v>
      </c>
      <c r="F18" s="5" t="n">
        <v>640</v>
      </c>
      <c r="G18" s="5" t="n">
        <v>0</v>
      </c>
      <c r="H18" s="5" t="n">
        <v>0</v>
      </c>
      <c r="I18" s="5" t="n">
        <v>0</v>
      </c>
    </row>
    <row r="19">
      <c r="A19" s="2" t="inlineStr">
        <is>
          <t>Altre immobilizzazioni immateriali (migliorie su beni di terzi)</t>
        </is>
      </c>
      <c r="B19" s="2" t="inlineStr">
        <is>
          <t>Migliorie su beni di terzi: ampliamento sala riunioni</t>
        </is>
      </c>
      <c r="C19" s="5" t="n">
        <v>628</v>
      </c>
      <c r="D19" s="5" t="n">
        <v>172</v>
      </c>
      <c r="E19" s="5" t="n">
        <v>172</v>
      </c>
      <c r="F19" s="5" t="n">
        <v>172</v>
      </c>
      <c r="G19" s="5" t="n">
        <v>112</v>
      </c>
      <c r="H19" s="5" t="n">
        <v>0</v>
      </c>
      <c r="I19" s="5" t="n">
        <v>0</v>
      </c>
    </row>
    <row r="20">
      <c r="A20" s="2" t="inlineStr">
        <is>
          <t>Altre immobilizzazioni immateriali (migliorie su beni di terzi)</t>
        </is>
      </c>
      <c r="B20" s="2" t="inlineStr">
        <is>
          <t>Migliorie su beni di terzi: cabina di proiezione e area formazione</t>
        </is>
      </c>
      <c r="C20" s="5" t="n">
        <v>1394</v>
      </c>
      <c r="D20" s="5" t="n">
        <v>350</v>
      </c>
      <c r="E20" s="5" t="n">
        <v>350</v>
      </c>
      <c r="F20" s="5" t="n">
        <v>350</v>
      </c>
      <c r="G20" s="5" t="n">
        <v>344</v>
      </c>
      <c r="H20" s="5" t="n">
        <v>0</v>
      </c>
      <c r="I20" s="5" t="n">
        <v>0</v>
      </c>
    </row>
    <row r="21">
      <c r="A21" s="2" t="inlineStr">
        <is>
          <t>Altre immobilizzazioni immateriali (migliorie su beni di terzi)</t>
        </is>
      </c>
      <c r="B21" s="2" t="inlineStr">
        <is>
          <t>Migliorie su beni di terzi: illuminazione e insonorizzazione open space</t>
        </is>
      </c>
      <c r="C21" s="5" t="n">
        <v>1775</v>
      </c>
      <c r="D21" s="5" t="n">
        <v>406</v>
      </c>
      <c r="E21" s="5" t="n">
        <v>406</v>
      </c>
      <c r="F21" s="5" t="n">
        <v>406</v>
      </c>
      <c r="G21" s="5" t="n">
        <v>406</v>
      </c>
      <c r="H21" s="5" t="n">
        <v>151</v>
      </c>
      <c r="I21" s="5" t="n">
        <v>0</v>
      </c>
    </row>
    <row r="22">
      <c r="A22" s="2" t="inlineStr">
        <is>
          <t>Altre immobilizzazioni immateriali (migliorie su beni di terzi)</t>
        </is>
      </c>
      <c r="B22" s="2" t="inlineStr">
        <is>
          <t>Migliorie su beni di terzi: rifacimento dei servizi e dell'area ristoro</t>
        </is>
      </c>
      <c r="C22" s="5" t="n">
        <v>2094</v>
      </c>
      <c r="D22" s="5" t="n">
        <v>437</v>
      </c>
      <c r="E22" s="5" t="n">
        <v>437</v>
      </c>
      <c r="F22" s="5" t="n">
        <v>437</v>
      </c>
      <c r="G22" s="5" t="n">
        <v>437</v>
      </c>
      <c r="H22" s="5" t="n">
        <v>346</v>
      </c>
      <c r="I22" s="5" t="n">
        <v>0</v>
      </c>
    </row>
    <row r="23">
      <c r="A23" s="2" t="inlineStr">
        <is>
          <t>Impianti e macchinario (impianti di rete e cablaggio)</t>
        </is>
      </c>
      <c r="B23" s="2" t="inlineStr">
        <is>
          <t>Impianto di videosorveglianza e controllo accessi</t>
        </is>
      </c>
      <c r="C23" s="5" t="n">
        <v>1414</v>
      </c>
      <c r="D23" s="5" t="n">
        <v>840</v>
      </c>
      <c r="E23" s="5" t="n">
        <v>574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2" t="inlineStr">
        <is>
          <t>Impianti e macchinario (impianti di rete e cablaggio)</t>
        </is>
      </c>
      <c r="B24" s="2" t="inlineStr">
        <is>
          <t>Impianto elettrico di continuità (UPS) della sala server</t>
        </is>
      </c>
      <c r="C24" s="5" t="n">
        <v>1725</v>
      </c>
      <c r="D24" s="5" t="n">
        <v>630</v>
      </c>
      <c r="E24" s="5" t="n">
        <v>630</v>
      </c>
      <c r="F24" s="5" t="n">
        <v>465</v>
      </c>
      <c r="G24" s="5" t="n">
        <v>0</v>
      </c>
      <c r="H24" s="5" t="n">
        <v>0</v>
      </c>
      <c r="I24" s="5" t="n">
        <v>0</v>
      </c>
    </row>
    <row r="25">
      <c r="A25" s="2" t="inlineStr">
        <is>
          <t>Impianti e macchinario (impianti di rete e cablaggio)</t>
        </is>
      </c>
      <c r="B25" s="2" t="inlineStr">
        <is>
          <t>Impianto di rete wireless degli uffici</t>
        </is>
      </c>
      <c r="C25" s="5" t="n">
        <v>1701</v>
      </c>
      <c r="D25" s="5" t="n">
        <v>419</v>
      </c>
      <c r="E25" s="5" t="n">
        <v>419</v>
      </c>
      <c r="F25" s="5" t="n">
        <v>419</v>
      </c>
      <c r="G25" s="5" t="n">
        <v>419</v>
      </c>
      <c r="H25" s="5" t="n">
        <v>25</v>
      </c>
      <c r="I25" s="5" t="n">
        <v>0</v>
      </c>
    </row>
    <row r="26">
      <c r="A26" s="2" t="inlineStr">
        <is>
          <t>Impianti e macchinario (impianti di rete e cablaggio)</t>
        </is>
      </c>
      <c r="B26" s="2" t="inlineStr">
        <is>
          <t>Impianto di rilevazione presenze e domotica leggera</t>
        </is>
      </c>
      <c r="C26" s="5" t="n">
        <v>2562</v>
      </c>
      <c r="D26" s="5" t="n">
        <v>556</v>
      </c>
      <c r="E26" s="5" t="n">
        <v>556</v>
      </c>
      <c r="F26" s="5" t="n">
        <v>556</v>
      </c>
      <c r="G26" s="5" t="n">
        <v>556</v>
      </c>
      <c r="H26" s="5" t="n">
        <v>338</v>
      </c>
      <c r="I26" s="5" t="n">
        <v>0</v>
      </c>
    </row>
    <row r="27">
      <c r="A27" s="2" t="inlineStr">
        <is>
          <t>Impianti e macchinario (impianti di rete e cablaggio)</t>
        </is>
      </c>
      <c r="B27" s="2" t="inlineStr">
        <is>
          <t>Impianto di audio-videoconferenza della sala riunioni</t>
        </is>
      </c>
      <c r="C27" s="5" t="n">
        <v>3484</v>
      </c>
      <c r="D27" s="5" t="n">
        <v>659</v>
      </c>
      <c r="E27" s="5" t="n">
        <v>659</v>
      </c>
      <c r="F27" s="5" t="n">
        <v>659</v>
      </c>
      <c r="G27" s="5" t="n">
        <v>659</v>
      </c>
      <c r="H27" s="5" t="n">
        <v>659</v>
      </c>
      <c r="I27" s="5" t="n">
        <v>189</v>
      </c>
    </row>
    <row r="28">
      <c r="A28" s="2" t="inlineStr">
        <is>
          <t>Impianti e macchinario (impianti di rete e cablaggio)</t>
        </is>
      </c>
      <c r="B28" s="2" t="inlineStr">
        <is>
          <t>Impianto di ricarica elettrica per veicoli aziendali</t>
        </is>
      </c>
      <c r="C28" s="5" t="n">
        <v>4524</v>
      </c>
      <c r="D28" s="5" t="n">
        <v>733</v>
      </c>
      <c r="E28" s="5" t="n">
        <v>733</v>
      </c>
      <c r="F28" s="5" t="n">
        <v>733</v>
      </c>
      <c r="G28" s="5" t="n">
        <v>733</v>
      </c>
      <c r="H28" s="5" t="n">
        <v>733</v>
      </c>
      <c r="I28" s="5" t="n">
        <v>859</v>
      </c>
    </row>
    <row r="29">
      <c r="A29" s="2" t="inlineStr">
        <is>
          <t>Attrezzature industriali e commerciali (server e apparati di test)</t>
        </is>
      </c>
      <c r="B29" s="2" t="inlineStr">
        <is>
          <t>Apparati di rete e firewall di perimetro</t>
        </is>
      </c>
      <c r="C29" s="5" t="n">
        <v>755</v>
      </c>
      <c r="D29" s="5" t="n">
        <v>755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</row>
    <row r="30">
      <c r="A30" s="2" t="inlineStr">
        <is>
          <t>Attrezzature industriali e commerciali (server e apparati di test)</t>
        </is>
      </c>
      <c r="B30" s="2" t="inlineStr">
        <is>
          <t>Sistema di storage e backup</t>
        </is>
      </c>
      <c r="C30" s="5" t="n">
        <v>5453</v>
      </c>
      <c r="D30" s="5" t="n">
        <v>3660</v>
      </c>
      <c r="E30" s="5" t="n">
        <v>1793</v>
      </c>
      <c r="F30" s="5" t="n">
        <v>0</v>
      </c>
      <c r="G30" s="5" t="n">
        <v>0</v>
      </c>
      <c r="H30" s="5" t="n">
        <v>0</v>
      </c>
      <c r="I30" s="5" t="n">
        <v>0</v>
      </c>
    </row>
    <row r="31">
      <c r="A31" s="2" t="inlineStr">
        <is>
          <t>Attrezzature industriali e commerciali (server e apparati di test)</t>
        </is>
      </c>
      <c r="B31" s="2" t="inlineStr">
        <is>
          <t>Parco dispositivi di test mobile (smartphone e tablet)</t>
        </is>
      </c>
      <c r="C31" s="5" t="n">
        <v>3486</v>
      </c>
      <c r="D31" s="5" t="n">
        <v>1212</v>
      </c>
      <c r="E31" s="5" t="n">
        <v>1212</v>
      </c>
      <c r="F31" s="5" t="n">
        <v>1062</v>
      </c>
      <c r="G31" s="5" t="n">
        <v>0</v>
      </c>
      <c r="H31" s="5" t="n">
        <v>0</v>
      </c>
      <c r="I31" s="5" t="n">
        <v>0</v>
      </c>
    </row>
    <row r="32">
      <c r="A32" s="2" t="inlineStr">
        <is>
          <t>Attrezzature industriali e commerciali (server e apparati di test)</t>
        </is>
      </c>
      <c r="B32" s="2" t="inlineStr">
        <is>
          <t>Nodo aggiuntivo di calcolo per la piattaforma</t>
        </is>
      </c>
      <c r="C32" s="5" t="n">
        <v>5405</v>
      </c>
      <c r="D32" s="5" t="n">
        <v>1607</v>
      </c>
      <c r="E32" s="5" t="n">
        <v>1607</v>
      </c>
      <c r="F32" s="5" t="n">
        <v>1607</v>
      </c>
      <c r="G32" s="5" t="n">
        <v>584</v>
      </c>
      <c r="H32" s="5" t="n">
        <v>0</v>
      </c>
      <c r="I32" s="5" t="n">
        <v>0</v>
      </c>
    </row>
    <row r="33">
      <c r="A33" s="2" t="inlineStr">
        <is>
          <t>Attrezzature industriali e commerciali (server e apparati di test)</t>
        </is>
      </c>
      <c r="B33" s="2" t="inlineStr">
        <is>
          <t>Apparati di laboratorio dati di corso Francia</t>
        </is>
      </c>
      <c r="C33" s="5" t="n">
        <v>7541</v>
      </c>
      <c r="D33" s="5" t="n">
        <v>1903</v>
      </c>
      <c r="E33" s="5" t="n">
        <v>1903</v>
      </c>
      <c r="F33" s="5" t="n">
        <v>1903</v>
      </c>
      <c r="G33" s="5" t="n">
        <v>1832</v>
      </c>
      <c r="H33" s="5" t="n">
        <v>0</v>
      </c>
      <c r="I33" s="5" t="n">
        <v>0</v>
      </c>
    </row>
    <row r="34">
      <c r="A34" s="2" t="inlineStr">
        <is>
          <t>Attrezzature industriali e commerciali (server e apparati di test)</t>
        </is>
      </c>
      <c r="B34" s="2" t="inlineStr">
        <is>
          <t>Rinnovo del sistema di storage e backup</t>
        </is>
      </c>
      <c r="C34" s="5" t="n">
        <v>9820</v>
      </c>
      <c r="D34" s="5" t="n">
        <v>2116</v>
      </c>
      <c r="E34" s="5" t="n">
        <v>2116</v>
      </c>
      <c r="F34" s="5" t="n">
        <v>2116</v>
      </c>
      <c r="G34" s="5" t="n">
        <v>2116</v>
      </c>
      <c r="H34" s="5" t="n">
        <v>1356</v>
      </c>
      <c r="I34" s="5" t="n">
        <v>0</v>
      </c>
    </row>
    <row r="35">
      <c r="A35" s="2" t="inlineStr">
        <is>
          <t>Altri beni: macchine d'ufficio elettroniche</t>
        </is>
      </c>
      <c r="B35" s="2" t="inlineStr">
        <is>
          <t>Stazione di lavoro grafica per la progettazione UX</t>
        </is>
      </c>
      <c r="C35" s="5" t="n">
        <v>25</v>
      </c>
      <c r="D35" s="5" t="n">
        <v>25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</row>
    <row r="36">
      <c r="A36" s="2" t="inlineStr">
        <is>
          <t>Altri beni: macchine d'ufficio elettroniche</t>
        </is>
      </c>
      <c r="B36" s="2" t="inlineStr">
        <is>
          <t>Notebook di sviluppo (terzo lotto)</t>
        </is>
      </c>
      <c r="C36" s="5" t="n">
        <v>30</v>
      </c>
      <c r="D36" s="5" t="n">
        <v>30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2" t="inlineStr">
        <is>
          <t>Altri beni: macchine d'ufficio elettroniche</t>
        </is>
      </c>
      <c r="B37" s="2" t="inlineStr">
        <is>
          <t>Workstation di sviluppo e notebook (lotto 2022)</t>
        </is>
      </c>
      <c r="C37" s="5" t="n">
        <v>4312</v>
      </c>
      <c r="D37" s="5" t="n">
        <v>2050</v>
      </c>
      <c r="E37" s="5" t="n">
        <v>2050</v>
      </c>
      <c r="F37" s="5" t="n">
        <v>212</v>
      </c>
      <c r="G37" s="5" t="n">
        <v>0</v>
      </c>
      <c r="H37" s="5" t="n">
        <v>0</v>
      </c>
      <c r="I37" s="5" t="n">
        <v>0</v>
      </c>
    </row>
    <row r="38">
      <c r="A38" s="2" t="inlineStr">
        <is>
          <t>Altri beni: macchine d'ufficio elettroniche</t>
        </is>
      </c>
      <c r="B38" s="2" t="inlineStr">
        <is>
          <t>Notebook e dispositivi per i nuovi assunti (lotto 2023)</t>
        </is>
      </c>
      <c r="C38" s="5" t="n">
        <v>7672</v>
      </c>
      <c r="D38" s="5" t="n">
        <v>2719</v>
      </c>
      <c r="E38" s="5" t="n">
        <v>2719</v>
      </c>
      <c r="F38" s="5" t="n">
        <v>2234</v>
      </c>
      <c r="G38" s="5" t="n">
        <v>0</v>
      </c>
      <c r="H38" s="5" t="n">
        <v>0</v>
      </c>
      <c r="I38" s="5" t="n">
        <v>0</v>
      </c>
    </row>
    <row r="39">
      <c r="A39" s="2" t="inlineStr">
        <is>
          <t>Altri beni: macchine d'ufficio elettroniche</t>
        </is>
      </c>
      <c r="B39" s="2" t="inlineStr">
        <is>
          <t>Notebook, monitor e dock per i nuovi assunti (lotto 2024)</t>
        </is>
      </c>
      <c r="C39" s="5" t="n">
        <v>11855</v>
      </c>
      <c r="D39" s="5" t="n">
        <v>3221</v>
      </c>
      <c r="E39" s="5" t="n">
        <v>3221</v>
      </c>
      <c r="F39" s="5" t="n">
        <v>3221</v>
      </c>
      <c r="G39" s="5" t="n">
        <v>2192</v>
      </c>
      <c r="H39" s="5" t="n">
        <v>0</v>
      </c>
      <c r="I39" s="5" t="n">
        <v>0</v>
      </c>
    </row>
    <row r="40">
      <c r="A40" s="2" t="inlineStr">
        <is>
          <t>Altri beni: macchine d'ufficio elettroniche</t>
        </is>
      </c>
      <c r="B40" s="2" t="inlineStr">
        <is>
          <t>Notebook e stazioni di lavoro per i nuovi assunti (lotto 2025)</t>
        </is>
      </c>
      <c r="C40" s="5" t="n">
        <v>16386</v>
      </c>
      <c r="D40" s="5" t="n">
        <v>3582</v>
      </c>
      <c r="E40" s="5" t="n">
        <v>3582</v>
      </c>
      <c r="F40" s="5" t="n">
        <v>3582</v>
      </c>
      <c r="G40" s="5" t="n">
        <v>3582</v>
      </c>
      <c r="H40" s="5" t="n">
        <v>2058</v>
      </c>
      <c r="I40" s="5" t="n">
        <v>0</v>
      </c>
    </row>
    <row r="41">
      <c r="A41" s="2" t="inlineStr">
        <is>
          <t>Altri beni: mobili e arredi</t>
        </is>
      </c>
      <c r="B41" s="2" t="inlineStr">
        <is>
          <t>Scrivanie operative (lotto iniziale)</t>
        </is>
      </c>
      <c r="C41" s="5" t="n">
        <v>807</v>
      </c>
      <c r="D41" s="5" t="n">
        <v>807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</row>
    <row r="42">
      <c r="A42" s="2" t="inlineStr">
        <is>
          <t>Altri beni: mobili e arredi</t>
        </is>
      </c>
      <c r="B42" s="2" t="inlineStr">
        <is>
          <t>Sedie ergonomiche (lotto iniziale)</t>
        </is>
      </c>
      <c r="C42" s="5" t="n">
        <v>460</v>
      </c>
      <c r="D42" s="5" t="n">
        <v>460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</row>
    <row r="43">
      <c r="A43" s="2" t="inlineStr">
        <is>
          <t>Altri beni: mobili e arredi</t>
        </is>
      </c>
      <c r="B43" s="2" t="inlineStr">
        <is>
          <t>Armadi e arredi della sala riunioni</t>
        </is>
      </c>
      <c r="C43" s="5" t="n">
        <v>2535</v>
      </c>
      <c r="D43" s="5" t="n">
        <v>945</v>
      </c>
      <c r="E43" s="5" t="n">
        <v>945</v>
      </c>
      <c r="F43" s="5" t="n">
        <v>645</v>
      </c>
      <c r="G43" s="5" t="n">
        <v>0</v>
      </c>
      <c r="H43" s="5" t="n">
        <v>0</v>
      </c>
      <c r="I43" s="5" t="n">
        <v>0</v>
      </c>
    </row>
    <row r="44">
      <c r="A44" s="2" t="inlineStr">
        <is>
          <t>Altri beni: mobili e arredi</t>
        </is>
      </c>
      <c r="B44" s="2" t="inlineStr">
        <is>
          <t>Arredi del laboratorio dati di corso Francia</t>
        </is>
      </c>
      <c r="C44" s="5" t="n">
        <v>3596</v>
      </c>
      <c r="D44" s="5" t="n">
        <v>756</v>
      </c>
      <c r="E44" s="5" t="n">
        <v>756</v>
      </c>
      <c r="F44" s="5" t="n">
        <v>756</v>
      </c>
      <c r="G44" s="5" t="n">
        <v>756</v>
      </c>
      <c r="H44" s="5" t="n">
        <v>572</v>
      </c>
      <c r="I44" s="5" t="n">
        <v>0</v>
      </c>
    </row>
    <row r="45">
      <c r="A45" s="2" t="inlineStr">
        <is>
          <t>Altri beni: mobili e arredi</t>
        </is>
      </c>
      <c r="B45" s="2" t="inlineStr">
        <is>
          <t>Scrivanie e sedie per l'ampliamento dell'organico (2022)</t>
        </is>
      </c>
      <c r="C45" s="5" t="n">
        <v>2035</v>
      </c>
      <c r="D45" s="5" t="n">
        <v>336</v>
      </c>
      <c r="E45" s="5" t="n">
        <v>336</v>
      </c>
      <c r="F45" s="5" t="n">
        <v>336</v>
      </c>
      <c r="G45" s="5" t="n">
        <v>336</v>
      </c>
      <c r="H45" s="5" t="n">
        <v>336</v>
      </c>
      <c r="I45" s="5" t="n">
        <v>355</v>
      </c>
    </row>
    <row r="46">
      <c r="A46" s="2" t="inlineStr">
        <is>
          <t>Altri beni: mobili e arredi</t>
        </is>
      </c>
      <c r="B46" s="2" t="inlineStr">
        <is>
          <t>Arredi e scrivanie regolabili (2023)</t>
        </is>
      </c>
      <c r="C46" s="5" t="n">
        <v>2952</v>
      </c>
      <c r="D46" s="5" t="n">
        <v>445</v>
      </c>
      <c r="E46" s="5" t="n">
        <v>445</v>
      </c>
      <c r="F46" s="5" t="n">
        <v>445</v>
      </c>
      <c r="G46" s="5" t="n">
        <v>445</v>
      </c>
      <c r="H46" s="5" t="n">
        <v>445</v>
      </c>
      <c r="I46" s="5" t="n">
        <v>727</v>
      </c>
    </row>
    <row r="47">
      <c r="A47" s="2" t="inlineStr">
        <is>
          <t>Altri beni: mobili e arredi</t>
        </is>
      </c>
      <c r="B47" s="2" t="inlineStr">
        <is>
          <t>Arredi per la sala formazione (2024)</t>
        </is>
      </c>
      <c r="C47" s="5" t="n">
        <v>3838</v>
      </c>
      <c r="D47" s="5" t="n">
        <v>527</v>
      </c>
      <c r="E47" s="5" t="n">
        <v>527</v>
      </c>
      <c r="F47" s="5" t="n">
        <v>527</v>
      </c>
      <c r="G47" s="5" t="n">
        <v>527</v>
      </c>
      <c r="H47" s="5" t="n">
        <v>527</v>
      </c>
      <c r="I47" s="5" t="n">
        <v>1203</v>
      </c>
    </row>
    <row r="48">
      <c r="A48" s="2" t="inlineStr">
        <is>
          <t>Altri beni: mobili e arredi</t>
        </is>
      </c>
      <c r="B48" s="2" t="inlineStr">
        <is>
          <t>Arredi e sedute per i nuovi postazioni di lavoro (2025)</t>
        </is>
      </c>
      <c r="C48" s="5" t="n">
        <v>4677</v>
      </c>
      <c r="D48" s="5" t="n">
        <v>586</v>
      </c>
      <c r="E48" s="5" t="n">
        <v>586</v>
      </c>
      <c r="F48" s="5" t="n">
        <v>586</v>
      </c>
      <c r="G48" s="5" t="n">
        <v>586</v>
      </c>
      <c r="H48" s="5" t="n">
        <v>586</v>
      </c>
      <c r="I48" s="5" t="n">
        <v>1747</v>
      </c>
    </row>
    <row r="49">
      <c r="A49" s="2" t="inlineStr">
        <is>
          <t>Altri beni: autovetture e mezzi di trasporto interni</t>
        </is>
      </c>
      <c r="B49" s="2" t="inlineStr">
        <is>
          <t>Autovettura aziendale ibrida di proprietà</t>
        </is>
      </c>
      <c r="C49" s="5" t="n">
        <v>3086</v>
      </c>
      <c r="D49" s="5" t="n">
        <v>3086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2" t="inlineStr">
        <is>
          <t>Altri beni: autovetture e mezzi di trasporto interni</t>
        </is>
      </c>
      <c r="B50" s="2" t="inlineStr">
        <is>
          <t>Dotazioni e allestimenti delle autovetture aziendali (2022)</t>
        </is>
      </c>
      <c r="C50" s="5" t="n">
        <v>1056</v>
      </c>
      <c r="D50" s="5" t="n">
        <v>350</v>
      </c>
      <c r="E50" s="5" t="n">
        <v>350</v>
      </c>
      <c r="F50" s="5" t="n">
        <v>350</v>
      </c>
      <c r="G50" s="5" t="n">
        <v>6</v>
      </c>
      <c r="H50" s="5" t="n">
        <v>0</v>
      </c>
      <c r="I50" s="5" t="n">
        <v>0</v>
      </c>
    </row>
    <row r="51">
      <c r="A51" s="2" t="inlineStr">
        <is>
          <t>Altri beni: autovetture e mezzi di trasporto interni</t>
        </is>
      </c>
      <c r="B51" s="2" t="inlineStr">
        <is>
          <t>Dotazioni e allestimenti delle autovetture aziendali (2023)</t>
        </is>
      </c>
      <c r="C51" s="5" t="n">
        <v>1514</v>
      </c>
      <c r="D51" s="5" t="n">
        <v>464</v>
      </c>
      <c r="E51" s="5" t="n">
        <v>464</v>
      </c>
      <c r="F51" s="5" t="n">
        <v>464</v>
      </c>
      <c r="G51" s="5" t="n">
        <v>122</v>
      </c>
      <c r="H51" s="5" t="n">
        <v>0</v>
      </c>
      <c r="I51" s="5" t="n">
        <v>0</v>
      </c>
    </row>
    <row r="52">
      <c r="A52" s="2" t="inlineStr">
        <is>
          <t>Altri beni: autovetture e mezzi di trasporto interni</t>
        </is>
      </c>
      <c r="B52" s="2" t="inlineStr">
        <is>
          <t>Dotazioni e allestimenti delle autovetture aziendali (2024)</t>
        </is>
      </c>
      <c r="C52" s="5" t="n">
        <v>1946</v>
      </c>
      <c r="D52" s="5" t="n">
        <v>549</v>
      </c>
      <c r="E52" s="5" t="n">
        <v>549</v>
      </c>
      <c r="F52" s="5" t="n">
        <v>549</v>
      </c>
      <c r="G52" s="5" t="n">
        <v>299</v>
      </c>
      <c r="H52" s="5" t="n">
        <v>0</v>
      </c>
      <c r="I52" s="5" t="n">
        <v>0</v>
      </c>
    </row>
    <row r="53">
      <c r="A53" s="2" t="inlineStr">
        <is>
          <t>Altri beni: autovetture e mezzi di trasporto interni</t>
        </is>
      </c>
      <c r="B53" s="2" t="inlineStr">
        <is>
          <t>Dotazioni e allestimenti delle autovetture aziendali (2025)</t>
        </is>
      </c>
      <c r="C53" s="5" t="n">
        <v>2348</v>
      </c>
      <c r="D53" s="5" t="n">
        <v>610</v>
      </c>
      <c r="E53" s="5" t="n">
        <v>610</v>
      </c>
      <c r="F53" s="5" t="n">
        <v>610</v>
      </c>
      <c r="G53" s="5" t="n">
        <v>518</v>
      </c>
      <c r="H53" s="5" t="n">
        <v>0</v>
      </c>
      <c r="I53" s="5" t="n">
        <v>0</v>
      </c>
    </row>
    <row r="54">
      <c r="A54" s="6" t="inlineStr">
        <is>
          <t>Totale</t>
        </is>
      </c>
      <c r="B54" s="7" t="n"/>
      <c r="C54" s="8">
        <f>SUM(C2:C53)</f>
        <v/>
      </c>
      <c r="D54" s="8">
        <f>SUM(D2:D53)</f>
        <v/>
      </c>
      <c r="E54" s="8">
        <f>SUM(E2:E53)</f>
        <v/>
      </c>
      <c r="F54" s="8">
        <f>SUM(F2:F53)</f>
        <v/>
      </c>
      <c r="G54" s="8">
        <f>SUM(G2:G53)</f>
        <v/>
      </c>
      <c r="H54" s="8">
        <f>SUM(H2:H53)</f>
        <v/>
      </c>
      <c r="I54" s="8">
        <f>SUM(I2:I53)</f>
        <v/>
      </c>
    </row>
  </sheetData>
  <autoFilter ref="A1:I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8" customWidth="1" min="3" max="3"/>
    <col width="24" customWidth="1" min="4" max="4"/>
    <col width="20" customWidth="1" min="5" max="5"/>
    <col width="22" customWidth="1" min="6" max="6"/>
    <col width="10" customWidth="1" min="7" max="7"/>
  </cols>
  <sheetData>
    <row r="1">
      <c r="A1" s="9" t="inlineStr">
        <is>
          <t>Riconciliazione con lo stato patrimoniale: i totali per classe coincidono con la nota integrativa del bilancio 2025.</t>
        </is>
      </c>
    </row>
    <row r="3" ht="32" customHeight="1">
      <c r="A3" s="1" t="inlineStr">
        <is>
          <t>Classe</t>
        </is>
      </c>
      <c r="B3" s="1" t="inlineStr">
        <is>
          <t>Costo storico 1/1/2025</t>
        </is>
      </c>
      <c r="C3" s="1" t="inlineStr">
        <is>
          <t>Acquisizioni 2025</t>
        </is>
      </c>
      <c r="D3" s="1" t="inlineStr">
        <is>
          <t>Costo storico 31/12/2025</t>
        </is>
      </c>
      <c r="E3" s="1" t="inlineStr">
        <is>
          <t>Fondo 31/12/2025</t>
        </is>
      </c>
      <c r="F3" s="1" t="inlineStr">
        <is>
          <t>Valore netto 31/12/2025</t>
        </is>
      </c>
      <c r="G3" s="1" t="inlineStr">
        <is>
          <t>Aliquota</t>
        </is>
      </c>
    </row>
    <row r="4">
      <c r="A4" s="2" t="inlineStr">
        <is>
          <t>Costi di sviluppo</t>
        </is>
      </c>
      <c r="B4" s="5" t="n">
        <v>153656</v>
      </c>
      <c r="C4" s="5" t="n">
        <v>26208</v>
      </c>
      <c r="D4" s="5" t="n">
        <v>179864</v>
      </c>
      <c r="E4" s="5" t="n">
        <v>102510</v>
      </c>
      <c r="F4" s="5" t="n">
        <v>77354</v>
      </c>
      <c r="G4" s="2" t="inlineStr">
        <is>
          <t>20%</t>
        </is>
      </c>
    </row>
    <row r="5">
      <c r="A5" s="2" t="inlineStr">
        <is>
          <t>Diritti di utilizzazione di opere dell'ingegno (software applicativo)</t>
        </is>
      </c>
      <c r="B5" s="5" t="n">
        <v>35914</v>
      </c>
      <c r="C5" s="5" t="n">
        <v>6552</v>
      </c>
      <c r="D5" s="5" t="n">
        <v>42466</v>
      </c>
      <c r="E5" s="5" t="n">
        <v>27860</v>
      </c>
      <c r="F5" s="5" t="n">
        <v>14606</v>
      </c>
      <c r="G5" s="2" t="inlineStr">
        <is>
          <t>33%</t>
        </is>
      </c>
    </row>
    <row r="6">
      <c r="A6" s="2" t="inlineStr">
        <is>
          <t>Concessioni, licenze, marchi e diritti simili</t>
        </is>
      </c>
      <c r="B6" s="5" t="n">
        <v>9292</v>
      </c>
      <c r="C6" s="5" t="n">
        <v>1456</v>
      </c>
      <c r="D6" s="5" t="n">
        <v>10748</v>
      </c>
      <c r="E6" s="5" t="n">
        <v>6372</v>
      </c>
      <c r="F6" s="5" t="n">
        <v>4376</v>
      </c>
      <c r="G6" s="2" t="inlineStr">
        <is>
          <t>20%</t>
        </is>
      </c>
    </row>
    <row r="7">
      <c r="A7" s="2" t="inlineStr">
        <is>
          <t>Altre immobilizzazioni immateriali (migliorie su beni di terzi)</t>
        </is>
      </c>
      <c r="B7" s="5" t="n">
        <v>19638</v>
      </c>
      <c r="C7" s="5" t="n">
        <v>2184</v>
      </c>
      <c r="D7" s="5" t="n">
        <v>21822</v>
      </c>
      <c r="E7" s="5" t="n">
        <v>12158</v>
      </c>
      <c r="F7" s="5" t="n">
        <v>9664</v>
      </c>
      <c r="G7" s="2" t="inlineStr">
        <is>
          <t>20%</t>
        </is>
      </c>
    </row>
    <row r="8">
      <c r="A8" s="2" t="inlineStr">
        <is>
          <t>Impianti e macchinario (impianti di rete e cablaggio)</t>
        </is>
      </c>
      <c r="B8" s="5" t="n">
        <v>38896</v>
      </c>
      <c r="C8" s="5" t="n">
        <v>4884</v>
      </c>
      <c r="D8" s="5" t="n">
        <v>43780</v>
      </c>
      <c r="E8" s="5" t="n">
        <v>28370</v>
      </c>
      <c r="F8" s="5" t="n">
        <v>15410</v>
      </c>
      <c r="G8" s="2" t="inlineStr">
        <is>
          <t>15%</t>
        </is>
      </c>
    </row>
    <row r="9">
      <c r="A9" s="2" t="inlineStr">
        <is>
          <t>Attrezzature industriali e commerciali (server e apparati di test)</t>
        </is>
      </c>
      <c r="B9" s="5" t="n">
        <v>84608</v>
      </c>
      <c r="C9" s="5" t="n">
        <v>10582</v>
      </c>
      <c r="D9" s="5" t="n">
        <v>95190</v>
      </c>
      <c r="E9" s="5" t="n">
        <v>62730</v>
      </c>
      <c r="F9" s="5" t="n">
        <v>32460</v>
      </c>
      <c r="G9" s="2" t="inlineStr">
        <is>
          <t>20%</t>
        </is>
      </c>
    </row>
    <row r="10">
      <c r="A10" s="2" t="inlineStr">
        <is>
          <t>Altri beni: macchine d'ufficio elettroniche</t>
        </is>
      </c>
      <c r="B10" s="5" t="n">
        <v>123952</v>
      </c>
      <c r="C10" s="5" t="n">
        <v>17908</v>
      </c>
      <c r="D10" s="5" t="n">
        <v>141860</v>
      </c>
      <c r="E10" s="5" t="n">
        <v>101580</v>
      </c>
      <c r="F10" s="5" t="n">
        <v>40280</v>
      </c>
      <c r="G10" s="2" t="inlineStr">
        <is>
          <t>20%</t>
        </is>
      </c>
    </row>
    <row r="11">
      <c r="A11" s="2" t="inlineStr">
        <is>
          <t>Altri beni: mobili e arredi</t>
        </is>
      </c>
      <c r="B11" s="5" t="n">
        <v>42396</v>
      </c>
      <c r="C11" s="5" t="n">
        <v>4884</v>
      </c>
      <c r="D11" s="5" t="n">
        <v>47280</v>
      </c>
      <c r="E11" s="5" t="n">
        <v>26380</v>
      </c>
      <c r="F11" s="5" t="n">
        <v>20900</v>
      </c>
      <c r="G11" s="2" t="inlineStr">
        <is>
          <t>12%</t>
        </is>
      </c>
    </row>
    <row r="12">
      <c r="A12" s="2" t="inlineStr">
        <is>
          <t>Altri beni: autovetture e mezzi di trasporto interni</t>
        </is>
      </c>
      <c r="B12" s="5" t="n">
        <v>23448</v>
      </c>
      <c r="C12" s="5" t="n">
        <v>2442</v>
      </c>
      <c r="D12" s="5" t="n">
        <v>25890</v>
      </c>
      <c r="E12" s="5" t="n">
        <v>15940</v>
      </c>
      <c r="F12" s="5" t="n">
        <v>9950</v>
      </c>
      <c r="G12" s="2" t="inlineStr">
        <is>
          <t>25%</t>
        </is>
      </c>
    </row>
    <row r="13">
      <c r="A13" s="6" t="inlineStr">
        <is>
          <t>Totale</t>
        </is>
      </c>
      <c r="B13" s="8">
        <f>SUM(B4:B12)</f>
        <v/>
      </c>
      <c r="C13" s="8">
        <f>SUM(C4:C12)</f>
        <v/>
      </c>
      <c r="D13" s="8">
        <f>SUM(D4:D12)</f>
        <v/>
      </c>
      <c r="E13" s="8">
        <f>SUM(E4:E12)</f>
        <v/>
      </c>
      <c r="F13" s="8">
        <f>SUM(F4:F12)</f>
        <v/>
      </c>
      <c r="G13" s="7" t="n"/>
    </row>
  </sheetData>
  <autoFilter ref="A3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2026-10-15T13:35:06Z</dcterms:created>
  <dcterms:modified xsi:type="dcterms:W3CDTF">2026-10-15T13:35:06Z</dcterms:modified>
</cp:coreProperties>
</file>