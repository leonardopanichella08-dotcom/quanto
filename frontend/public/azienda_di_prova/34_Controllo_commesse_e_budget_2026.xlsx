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sse 2025" sheetId="1" state="visible" r:id="rId1"/>
    <sheet name="Budget 2026 vs consuntivo" sheetId="2" state="visible" r:id="rId2"/>
  </sheets>
  <definedNames>
    <definedName name="_xlnm._FilterDatabase" localSheetId="0" hidden="1">'Commesse 2025'!$A$1:$K$55</definedName>
    <definedName name="_xlnm._FilterDatabase" localSheetId="1" hidden="1">'Budget 2026 vs consuntivo'!$A$3:$Z$142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;[Red]-#,##0"/>
    <numFmt numFmtId="167" formatCode="#,##0.00;[Red]-#,##0.00"/>
    <numFmt numFmtId="168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6" fontId="3" fillId="3" borderId="0" pivotButton="0" quotePrefix="0" xfId="0"/>
    <xf numFmtId="167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24" customWidth="1" min="3" max="3"/>
    <col width="12" customWidth="1" min="4" max="4"/>
    <col width="12" customWidth="1" min="5" max="5"/>
    <col width="16" customWidth="1" min="6" max="6"/>
    <col width="22" customWidth="1" min="7" max="7"/>
    <col width="18" customWidth="1" min="8" max="8"/>
    <col width="16" customWidth="1" min="9" max="9"/>
    <col width="16" customWidth="1" min="10" max="10"/>
    <col width="12" customWidth="1" min="11" max="11"/>
  </cols>
  <sheetData>
    <row r="1" ht="32" customHeight="1">
      <c r="A1" s="1" t="inlineStr">
        <is>
          <t>Codice</t>
        </is>
      </c>
      <c r="B1" s="1" t="inlineStr">
        <is>
          <t>Cliente</t>
        </is>
      </c>
      <c r="C1" s="1" t="inlineStr">
        <is>
          <t>Tipo</t>
        </is>
      </c>
      <c r="D1" s="1" t="inlineStr">
        <is>
          <t>Inizio</t>
        </is>
      </c>
      <c r="E1" s="1" t="inlineStr">
        <is>
          <t>Fine</t>
        </is>
      </c>
      <c r="F1" s="1" t="inlineStr">
        <is>
          <t>Ore consuntivate</t>
        </is>
      </c>
      <c r="G1" s="1" t="inlineStr">
        <is>
          <t>Costo del personale (EUR)</t>
        </is>
      </c>
      <c r="H1" s="1" t="inlineStr">
        <is>
          <t>Costi esterni (EUR)</t>
        </is>
      </c>
      <c r="I1" s="1" t="inlineStr">
        <is>
          <t>Ricavi (EUR)</t>
        </is>
      </c>
      <c r="J1" s="1" t="inlineStr">
        <is>
          <t>Margine (EUR)</t>
        </is>
      </c>
      <c r="K1" s="1" t="inlineStr">
        <is>
          <t>Margine %</t>
        </is>
      </c>
    </row>
    <row r="2">
      <c r="A2" s="2" t="inlineStr">
        <is>
          <t>PRJ-2025-001</t>
        </is>
      </c>
      <c r="B2" s="2" t="inlineStr">
        <is>
          <t>Logistica Piemonte Nord S.r.l.</t>
        </is>
      </c>
      <c r="C2" s="2" t="inlineStr">
        <is>
          <t>Cruscotto dati</t>
        </is>
      </c>
      <c r="D2" s="3" t="n">
        <v>45927</v>
      </c>
      <c r="E2" s="3" t="n">
        <v>46131</v>
      </c>
      <c r="F2" s="4" t="n">
        <v>175</v>
      </c>
      <c r="G2" s="5" t="n">
        <v>5976.93</v>
      </c>
      <c r="H2" s="5" t="n">
        <v>335.89</v>
      </c>
      <c r="I2" s="5" t="n">
        <v>9577.639999999999</v>
      </c>
      <c r="J2" s="5">
        <f>I2-G2-H2</f>
        <v/>
      </c>
      <c r="K2" s="6">
        <f>J2/I2</f>
        <v/>
      </c>
    </row>
    <row r="3">
      <c r="A3" s="2" t="inlineStr">
        <is>
          <t>PRJ-2025-002</t>
        </is>
      </c>
      <c r="B3" s="2" t="inlineStr">
        <is>
          <t>Comune di Rivarolo Alto</t>
        </is>
      </c>
      <c r="C3" s="2" t="inlineStr">
        <is>
          <t>Applicativo web</t>
        </is>
      </c>
      <c r="D3" s="3" t="n">
        <v>45932</v>
      </c>
      <c r="E3" s="3" t="n">
        <v>46069</v>
      </c>
      <c r="F3" s="4" t="n">
        <v>686</v>
      </c>
      <c r="G3" s="5" t="n">
        <v>27227.04</v>
      </c>
      <c r="H3" s="5" t="n">
        <v>4330.02</v>
      </c>
      <c r="I3" s="5" t="n">
        <v>40952.77</v>
      </c>
      <c r="J3" s="5">
        <f>I3-G3-H3</f>
        <v/>
      </c>
      <c r="K3" s="6">
        <f>J3/I3</f>
        <v/>
      </c>
    </row>
    <row r="4">
      <c r="A4" s="2" t="inlineStr">
        <is>
          <t>PRJ-2025-003</t>
        </is>
      </c>
      <c r="B4" s="2" t="inlineStr">
        <is>
          <t>Vetreria Artigiana Alessandrina S.r.l.</t>
        </is>
      </c>
      <c r="C4" s="2" t="inlineStr">
        <is>
          <t>Manutenzione evolutiva</t>
        </is>
      </c>
      <c r="D4" s="3" t="n">
        <v>45862</v>
      </c>
      <c r="E4" s="3" t="n">
        <v>45957</v>
      </c>
      <c r="F4" s="4" t="n">
        <v>376</v>
      </c>
      <c r="G4" s="5" t="n">
        <v>14082.9</v>
      </c>
      <c r="H4" s="5" t="n">
        <v>1832.47</v>
      </c>
      <c r="I4" s="5" t="n">
        <v>21781.48</v>
      </c>
      <c r="J4" s="5">
        <f>I4-G4-H4</f>
        <v/>
      </c>
      <c r="K4" s="6">
        <f>J4/I4</f>
        <v/>
      </c>
    </row>
    <row r="5">
      <c r="A5" s="2" t="inlineStr">
        <is>
          <t>PRJ-2025-004</t>
        </is>
      </c>
      <c r="B5" s="2" t="inlineStr">
        <is>
          <t>Rubinetterie Cusiane S.p.A.</t>
        </is>
      </c>
      <c r="C5" s="2" t="inlineStr">
        <is>
          <t>Applicativo web</t>
        </is>
      </c>
      <c r="D5" s="3" t="n">
        <v>45955</v>
      </c>
      <c r="E5" s="3" t="n">
        <v>46033</v>
      </c>
      <c r="F5" s="4" t="n">
        <v>699</v>
      </c>
      <c r="G5" s="5" t="n">
        <v>26789.55</v>
      </c>
      <c r="H5" s="5" t="n">
        <v>1468.95</v>
      </c>
      <c r="I5" s="5" t="n">
        <v>43060.33</v>
      </c>
      <c r="J5" s="5">
        <f>I5-G5-H5</f>
        <v/>
      </c>
      <c r="K5" s="6">
        <f>J5/I5</f>
        <v/>
      </c>
    </row>
    <row r="6">
      <c r="A6" s="2" t="inlineStr">
        <is>
          <t>PRJ-2025-005</t>
        </is>
      </c>
      <c r="B6" s="2" t="inlineStr">
        <is>
          <t>Arredo Design Brianza S.r.l.</t>
        </is>
      </c>
      <c r="C6" s="2" t="inlineStr">
        <is>
          <t>Manutenzione evolutiva</t>
        </is>
      </c>
      <c r="D6" s="3" t="n">
        <v>45799</v>
      </c>
      <c r="E6" s="3" t="n">
        <v>45925</v>
      </c>
      <c r="F6" s="4" t="n">
        <v>304</v>
      </c>
      <c r="G6" s="5" t="n">
        <v>12209.34</v>
      </c>
      <c r="H6" s="5" t="n">
        <v>1517.34</v>
      </c>
      <c r="I6" s="5" t="n">
        <v>19961.48</v>
      </c>
      <c r="J6" s="5">
        <f>I6-G6-H6</f>
        <v/>
      </c>
      <c r="K6" s="6">
        <f>J6/I6</f>
        <v/>
      </c>
    </row>
    <row r="7">
      <c r="A7" s="2" t="inlineStr">
        <is>
          <t>PRJ-2025-006</t>
        </is>
      </c>
      <c r="B7" s="2" t="inlineStr">
        <is>
          <t>TecnoPack Italia S.r.l.</t>
        </is>
      </c>
      <c r="C7" s="2" t="inlineStr">
        <is>
          <t>Manutenzione evolutiva</t>
        </is>
      </c>
      <c r="D7" s="3" t="n">
        <v>45888</v>
      </c>
      <c r="E7" s="3" t="n">
        <v>45976</v>
      </c>
      <c r="F7" s="4" t="n">
        <v>145</v>
      </c>
      <c r="G7" s="5" t="n">
        <v>5180.27</v>
      </c>
      <c r="H7" s="5" t="n">
        <v>377.07</v>
      </c>
      <c r="I7" s="5" t="n">
        <v>9513.959999999999</v>
      </c>
      <c r="J7" s="5">
        <f>I7-G7-H7</f>
        <v/>
      </c>
      <c r="K7" s="6">
        <f>J7/I7</f>
        <v/>
      </c>
    </row>
    <row r="8">
      <c r="A8" s="2" t="inlineStr">
        <is>
          <t>PRJ-2025-007</t>
        </is>
      </c>
      <c r="B8" s="2" t="inlineStr">
        <is>
          <t>Hotel e Resort Lago Maggiore S.r.l.</t>
        </is>
      </c>
      <c r="C8" s="2" t="inlineStr">
        <is>
          <t>Formazione</t>
        </is>
      </c>
      <c r="D8" s="3" t="n">
        <v>45944</v>
      </c>
      <c r="E8" s="3" t="n">
        <v>46013</v>
      </c>
      <c r="F8" s="4" t="n">
        <v>763</v>
      </c>
      <c r="G8" s="5" t="n">
        <v>29772.68</v>
      </c>
      <c r="H8" s="5" t="n">
        <v>4572.25</v>
      </c>
      <c r="I8" s="5" t="n">
        <v>39835.57</v>
      </c>
      <c r="J8" s="5">
        <f>I8-G8-H8</f>
        <v/>
      </c>
      <c r="K8" s="6">
        <f>J8/I8</f>
        <v/>
      </c>
    </row>
    <row r="9">
      <c r="A9" s="2" t="inlineStr">
        <is>
          <t>PRJ-2025-008</t>
        </is>
      </c>
      <c r="B9" s="2" t="inlineStr">
        <is>
          <t>Autotrasporti Langhe S.r.l.</t>
        </is>
      </c>
      <c r="C9" s="2" t="inlineStr">
        <is>
          <t>Integrazione gestionale</t>
        </is>
      </c>
      <c r="D9" s="3" t="n">
        <v>45718</v>
      </c>
      <c r="E9" s="3" t="n">
        <v>45837</v>
      </c>
      <c r="F9" s="4" t="n">
        <v>191</v>
      </c>
      <c r="G9" s="5" t="n">
        <v>7817.46</v>
      </c>
      <c r="H9" s="5" t="n">
        <v>674</v>
      </c>
      <c r="I9" s="5" t="n">
        <v>12091.01</v>
      </c>
      <c r="J9" s="5">
        <f>I9-G9-H9</f>
        <v/>
      </c>
      <c r="K9" s="6">
        <f>J9/I9</f>
        <v/>
      </c>
    </row>
    <row r="10">
      <c r="A10" s="2" t="inlineStr">
        <is>
          <t>PRJ-2025-009</t>
        </is>
      </c>
      <c r="B10" s="2" t="inlineStr">
        <is>
          <t>Ferro &amp; Figli Carpenterie S.r.l.</t>
        </is>
      </c>
      <c r="C10" s="2" t="inlineStr">
        <is>
          <t>App mobile</t>
        </is>
      </c>
      <c r="D10" s="3" t="n">
        <v>45955</v>
      </c>
      <c r="E10" s="3" t="n">
        <v>46024</v>
      </c>
      <c r="F10" s="4" t="n">
        <v>888</v>
      </c>
      <c r="G10" s="5" t="n">
        <v>31004.56</v>
      </c>
      <c r="H10" s="5" t="n">
        <v>2814.26</v>
      </c>
      <c r="I10" s="5" t="n">
        <v>51760.62</v>
      </c>
      <c r="J10" s="5">
        <f>I10-G10-H10</f>
        <v/>
      </c>
      <c r="K10" s="6">
        <f>J10/I10</f>
        <v/>
      </c>
    </row>
    <row r="11">
      <c r="A11" s="2" t="inlineStr">
        <is>
          <t>PRJ-2025-010</t>
        </is>
      </c>
      <c r="B11" s="2" t="inlineStr">
        <is>
          <t>Comune di Rivarolo Alto</t>
        </is>
      </c>
      <c r="C11" s="2" t="inlineStr">
        <is>
          <t>App mobile</t>
        </is>
      </c>
      <c r="D11" s="3" t="n">
        <v>45737</v>
      </c>
      <c r="E11" s="3" t="n">
        <v>45893</v>
      </c>
      <c r="F11" s="4" t="n">
        <v>106</v>
      </c>
      <c r="G11" s="5" t="n">
        <v>3603.51</v>
      </c>
      <c r="H11" s="5" t="n">
        <v>640.76</v>
      </c>
      <c r="I11" s="5" t="n">
        <v>5866.86</v>
      </c>
      <c r="J11" s="5">
        <f>I11-G11-H11</f>
        <v/>
      </c>
      <c r="K11" s="6">
        <f>J11/I11</f>
        <v/>
      </c>
    </row>
    <row r="12">
      <c r="A12" s="2" t="inlineStr">
        <is>
          <t>PRJ-2025-011</t>
        </is>
      </c>
      <c r="B12" s="2" t="inlineStr">
        <is>
          <t>Panificio Borgonovo S.n.c.</t>
        </is>
      </c>
      <c r="C12" s="2" t="inlineStr">
        <is>
          <t>Formazione</t>
        </is>
      </c>
      <c r="D12" s="3" t="n">
        <v>45986</v>
      </c>
      <c r="E12" s="3" t="n">
        <v>46106</v>
      </c>
      <c r="F12" s="4" t="n">
        <v>541</v>
      </c>
      <c r="G12" s="5" t="n">
        <v>21600.89</v>
      </c>
      <c r="H12" s="5" t="n">
        <v>2259.36</v>
      </c>
      <c r="I12" s="5" t="n">
        <v>34725.77</v>
      </c>
      <c r="J12" s="5">
        <f>I12-G12-H12</f>
        <v/>
      </c>
      <c r="K12" s="6">
        <f>J12/I12</f>
        <v/>
      </c>
    </row>
    <row r="13">
      <c r="A13" s="2" t="inlineStr">
        <is>
          <t>PRJ-2025-012</t>
        </is>
      </c>
      <c r="B13" s="2" t="inlineStr">
        <is>
          <t>Laboratori Analisi Chimiche Subalpini S.r.l.</t>
        </is>
      </c>
      <c r="C13" s="2" t="inlineStr">
        <is>
          <t>Integrazione gestionale</t>
        </is>
      </c>
      <c r="D13" s="3" t="n">
        <v>45758</v>
      </c>
      <c r="E13" s="3" t="n">
        <v>45892</v>
      </c>
      <c r="F13" s="4" t="n">
        <v>769</v>
      </c>
      <c r="G13" s="5" t="n">
        <v>31336.39</v>
      </c>
      <c r="H13" s="5" t="n">
        <v>1531.88</v>
      </c>
      <c r="I13" s="5" t="n">
        <v>48486.69</v>
      </c>
      <c r="J13" s="5">
        <f>I13-G13-H13</f>
        <v/>
      </c>
      <c r="K13" s="6">
        <f>J13/I13</f>
        <v/>
      </c>
    </row>
    <row r="14">
      <c r="A14" s="2" t="inlineStr">
        <is>
          <t>PRJ-2025-013</t>
        </is>
      </c>
      <c r="B14" s="2" t="inlineStr">
        <is>
          <t>Gruppo Edilizio Ticino S.r.l.</t>
        </is>
      </c>
      <c r="C14" s="2" t="inlineStr">
        <is>
          <t>App mobile</t>
        </is>
      </c>
      <c r="D14" s="3" t="n">
        <v>45906</v>
      </c>
      <c r="E14" s="3" t="n">
        <v>45975</v>
      </c>
      <c r="F14" s="4" t="n">
        <v>705</v>
      </c>
      <c r="G14" s="5" t="n">
        <v>24077.69</v>
      </c>
      <c r="H14" s="5" t="n">
        <v>1566.48</v>
      </c>
      <c r="I14" s="5" t="n">
        <v>37192.67</v>
      </c>
      <c r="J14" s="5">
        <f>I14-G14-H14</f>
        <v/>
      </c>
      <c r="K14" s="6">
        <f>J14/I14</f>
        <v/>
      </c>
    </row>
    <row r="15">
      <c r="A15" s="2" t="inlineStr">
        <is>
          <t>PRJ-2025-014</t>
        </is>
      </c>
      <c r="B15" s="2" t="inlineStr">
        <is>
          <t>Energie Rinnovabili Cuneesi S.r.l.</t>
        </is>
      </c>
      <c r="C15" s="2" t="inlineStr">
        <is>
          <t>App mobile</t>
        </is>
      </c>
      <c r="D15" s="3" t="n">
        <v>45766</v>
      </c>
      <c r="E15" s="3" t="n">
        <v>45870</v>
      </c>
      <c r="F15" s="4" t="n">
        <v>697</v>
      </c>
      <c r="G15" s="5" t="n">
        <v>26846.44</v>
      </c>
      <c r="H15" s="5" t="n">
        <v>3109.25</v>
      </c>
      <c r="I15" s="5" t="n">
        <v>44196.42</v>
      </c>
      <c r="J15" s="5">
        <f>I15-G15-H15</f>
        <v/>
      </c>
      <c r="K15" s="6">
        <f>J15/I15</f>
        <v/>
      </c>
    </row>
    <row r="16">
      <c r="A16" s="2" t="inlineStr">
        <is>
          <t>PRJ-2025-015</t>
        </is>
      </c>
      <c r="B16" s="2" t="inlineStr">
        <is>
          <t>Consorzio Irriguo Pianura Vercellese</t>
        </is>
      </c>
      <c r="C16" s="2" t="inlineStr">
        <is>
          <t>Manutenzione evolutiva</t>
        </is>
      </c>
      <c r="D16" s="3" t="n">
        <v>45957</v>
      </c>
      <c r="E16" s="3" t="n">
        <v>46058</v>
      </c>
      <c r="F16" s="4" t="n">
        <v>449</v>
      </c>
      <c r="G16" s="5" t="n">
        <v>18356.16</v>
      </c>
      <c r="H16" s="5" t="n">
        <v>2919.41</v>
      </c>
      <c r="I16" s="5" t="n">
        <v>26630.54</v>
      </c>
      <c r="J16" s="5">
        <f>I16-G16-H16</f>
        <v/>
      </c>
      <c r="K16" s="6">
        <f>J16/I16</f>
        <v/>
      </c>
    </row>
    <row r="17">
      <c r="A17" s="2" t="inlineStr">
        <is>
          <t>PRJ-2025-016</t>
        </is>
      </c>
      <c r="B17" s="2" t="inlineStr">
        <is>
          <t>Società Cooperativa Agricola Roero</t>
        </is>
      </c>
      <c r="C17" s="2" t="inlineStr">
        <is>
          <t>Consulenza sicurezza</t>
        </is>
      </c>
      <c r="D17" s="3" t="n">
        <v>45741</v>
      </c>
      <c r="E17" s="3" t="n">
        <v>45931</v>
      </c>
      <c r="F17" s="4" t="n">
        <v>149</v>
      </c>
      <c r="G17" s="5" t="n">
        <v>4979.98</v>
      </c>
      <c r="H17" s="5" t="n">
        <v>610.27</v>
      </c>
      <c r="I17" s="5" t="n">
        <v>9321.639999999999</v>
      </c>
      <c r="J17" s="5">
        <f>I17-G17-H17</f>
        <v/>
      </c>
      <c r="K17" s="6">
        <f>J17/I17</f>
        <v/>
      </c>
    </row>
    <row r="18">
      <c r="A18" s="2" t="inlineStr">
        <is>
          <t>PRJ-2025-017</t>
        </is>
      </c>
      <c r="B18" s="2" t="inlineStr">
        <is>
          <t>Camera di Commercio del Piemonte Orientale (servizio dati)</t>
        </is>
      </c>
      <c r="C18" s="2" t="inlineStr">
        <is>
          <t>Consulenza sicurezza</t>
        </is>
      </c>
      <c r="D18" s="3" t="n">
        <v>45939</v>
      </c>
      <c r="E18" s="3" t="n">
        <v>46117</v>
      </c>
      <c r="F18" s="4" t="n">
        <v>520</v>
      </c>
      <c r="G18" s="5" t="n">
        <v>19270.08</v>
      </c>
      <c r="H18" s="5" t="n">
        <v>1752.38</v>
      </c>
      <c r="I18" s="5" t="n">
        <v>33079.39</v>
      </c>
      <c r="J18" s="5">
        <f>I18-G18-H18</f>
        <v/>
      </c>
      <c r="K18" s="6">
        <f>J18/I18</f>
        <v/>
      </c>
    </row>
    <row r="19">
      <c r="A19" s="2" t="inlineStr">
        <is>
          <t>PRJ-2025-018</t>
        </is>
      </c>
      <c r="B19" s="2" t="inlineStr">
        <is>
          <t>Camera di Commercio del Piemonte Orientale (servizio dati)</t>
        </is>
      </c>
      <c r="C19" s="2" t="inlineStr">
        <is>
          <t>Formazione</t>
        </is>
      </c>
      <c r="D19" s="3" t="n">
        <v>45988</v>
      </c>
      <c r="E19" s="3" t="n">
        <v>46055</v>
      </c>
      <c r="F19" s="4" t="n">
        <v>594</v>
      </c>
      <c r="G19" s="5" t="n">
        <v>20051.74</v>
      </c>
      <c r="H19" s="5" t="n">
        <v>2883.27</v>
      </c>
      <c r="I19" s="5" t="n">
        <v>36238.34</v>
      </c>
      <c r="J19" s="5">
        <f>I19-G19-H19</f>
        <v/>
      </c>
      <c r="K19" s="6">
        <f>J19/I19</f>
        <v/>
      </c>
    </row>
    <row r="20">
      <c r="A20" s="2" t="inlineStr">
        <is>
          <t>PRJ-2025-019</t>
        </is>
      </c>
      <c r="B20" s="2" t="inlineStr">
        <is>
          <t>Camera di Commercio del Piemonte Orientale (servizio dati)</t>
        </is>
      </c>
      <c r="C20" s="2" t="inlineStr">
        <is>
          <t>Cruscotto dati</t>
        </is>
      </c>
      <c r="D20" s="3" t="n">
        <v>45842</v>
      </c>
      <c r="E20" s="3" t="n">
        <v>45990</v>
      </c>
      <c r="F20" s="4" t="n">
        <v>186</v>
      </c>
      <c r="G20" s="5" t="n">
        <v>6572.53</v>
      </c>
      <c r="H20" s="5" t="n">
        <v>1090.36</v>
      </c>
      <c r="I20" s="5" t="n">
        <v>10354.88</v>
      </c>
      <c r="J20" s="5">
        <f>I20-G20-H20</f>
        <v/>
      </c>
      <c r="K20" s="6">
        <f>J20/I20</f>
        <v/>
      </c>
    </row>
    <row r="21">
      <c r="A21" s="2" t="inlineStr">
        <is>
          <t>PRJ-2025-020</t>
        </is>
      </c>
      <c r="B21" s="2" t="inlineStr">
        <is>
          <t>Elettrosistemi Torinesi S.r.l.</t>
        </is>
      </c>
      <c r="C21" s="2" t="inlineStr">
        <is>
          <t>Integrazione gestionale</t>
        </is>
      </c>
      <c r="D21" s="3" t="n">
        <v>45680</v>
      </c>
      <c r="E21" s="3" t="n">
        <v>45729</v>
      </c>
      <c r="F21" s="4" t="n">
        <v>833</v>
      </c>
      <c r="G21" s="5" t="n">
        <v>29465.51</v>
      </c>
      <c r="H21" s="5" t="n">
        <v>1594.76</v>
      </c>
      <c r="I21" s="5" t="n">
        <v>51193.49</v>
      </c>
      <c r="J21" s="5">
        <f>I21-G21-H21</f>
        <v/>
      </c>
      <c r="K21" s="6">
        <f>J21/I21</f>
        <v/>
      </c>
    </row>
    <row r="22">
      <c r="A22" s="2" t="inlineStr">
        <is>
          <t>PRJ-2025-021</t>
        </is>
      </c>
      <c r="B22" s="2" t="inlineStr">
        <is>
          <t>Camera di Commercio del Piemonte Orientale (servizio dati)</t>
        </is>
      </c>
      <c r="C22" s="2" t="inlineStr">
        <is>
          <t>Manutenzione evolutiva</t>
        </is>
      </c>
      <c r="D22" s="3" t="n">
        <v>45792</v>
      </c>
      <c r="E22" s="3" t="n">
        <v>45977</v>
      </c>
      <c r="F22" s="4" t="n">
        <v>752</v>
      </c>
      <c r="G22" s="5" t="n">
        <v>30647.94</v>
      </c>
      <c r="H22" s="5" t="n">
        <v>2655.59</v>
      </c>
      <c r="I22" s="5" t="n">
        <v>40588.79</v>
      </c>
      <c r="J22" s="5">
        <f>I22-G22-H22</f>
        <v/>
      </c>
      <c r="K22" s="6">
        <f>J22/I22</f>
        <v/>
      </c>
    </row>
    <row r="23">
      <c r="A23" s="2" t="inlineStr">
        <is>
          <t>PRJ-2025-022</t>
        </is>
      </c>
      <c r="B23" s="2" t="inlineStr">
        <is>
          <t>Plastica Novarese S.p.A.</t>
        </is>
      </c>
      <c r="C23" s="2" t="inlineStr">
        <is>
          <t>Manutenzione evolutiva</t>
        </is>
      </c>
      <c r="D23" s="3" t="n">
        <v>45979</v>
      </c>
      <c r="E23" s="3" t="n">
        <v>46156</v>
      </c>
      <c r="F23" s="4" t="n">
        <v>914</v>
      </c>
      <c r="G23" s="5" t="n">
        <v>34896.7</v>
      </c>
      <c r="H23" s="5" t="n">
        <v>3506.08</v>
      </c>
      <c r="I23" s="5" t="n">
        <v>55730.9</v>
      </c>
      <c r="J23" s="5">
        <f>I23-G23-H23</f>
        <v/>
      </c>
      <c r="K23" s="6">
        <f>J23/I23</f>
        <v/>
      </c>
    </row>
    <row r="24">
      <c r="A24" s="2" t="inlineStr">
        <is>
          <t>PRJ-2025-023</t>
        </is>
      </c>
      <c r="B24" s="2" t="inlineStr">
        <is>
          <t>Energie Rinnovabili Cuneesi S.r.l.</t>
        </is>
      </c>
      <c r="C24" s="2" t="inlineStr">
        <is>
          <t>App mobile</t>
        </is>
      </c>
      <c r="D24" s="3" t="n">
        <v>45953</v>
      </c>
      <c r="E24" s="3" t="n">
        <v>46150</v>
      </c>
      <c r="F24" s="4" t="n">
        <v>422</v>
      </c>
      <c r="G24" s="5" t="n">
        <v>14269.44</v>
      </c>
      <c r="H24" s="5" t="n">
        <v>1114.95</v>
      </c>
      <c r="I24" s="5" t="n">
        <v>25853.25</v>
      </c>
      <c r="J24" s="5">
        <f>I24-G24-H24</f>
        <v/>
      </c>
      <c r="K24" s="6">
        <f>J24/I24</f>
        <v/>
      </c>
    </row>
    <row r="25">
      <c r="A25" s="2" t="inlineStr">
        <is>
          <t>PRJ-2025-024</t>
        </is>
      </c>
      <c r="B25" s="2" t="inlineStr">
        <is>
          <t>Arredo Design Brianza S.r.l.</t>
        </is>
      </c>
      <c r="C25" s="2" t="inlineStr">
        <is>
          <t>Cruscotto dati</t>
        </is>
      </c>
      <c r="D25" s="3" t="n">
        <v>45829</v>
      </c>
      <c r="E25" s="3" t="n">
        <v>45998</v>
      </c>
      <c r="F25" s="4" t="n">
        <v>602</v>
      </c>
      <c r="G25" s="5" t="n">
        <v>23115.7</v>
      </c>
      <c r="H25" s="5" t="n">
        <v>1145.42</v>
      </c>
      <c r="I25" s="5" t="n">
        <v>33788.67</v>
      </c>
      <c r="J25" s="5">
        <f>I25-G25-H25</f>
        <v/>
      </c>
      <c r="K25" s="6">
        <f>J25/I25</f>
        <v/>
      </c>
    </row>
    <row r="26">
      <c r="A26" s="2" t="inlineStr">
        <is>
          <t>PRJ-2025-025</t>
        </is>
      </c>
      <c r="B26" s="2" t="inlineStr">
        <is>
          <t>Centro Medico Polispecialistico Aurora S.r.l.</t>
        </is>
      </c>
      <c r="C26" s="2" t="inlineStr">
        <is>
          <t>Applicativo web</t>
        </is>
      </c>
      <c r="D26" s="3" t="n">
        <v>45979</v>
      </c>
      <c r="E26" s="3" t="n">
        <v>46055</v>
      </c>
      <c r="F26" s="4" t="n">
        <v>385</v>
      </c>
      <c r="G26" s="5" t="n">
        <v>13129.73</v>
      </c>
      <c r="H26" s="5" t="n">
        <v>645.5700000000001</v>
      </c>
      <c r="I26" s="5" t="n">
        <v>22313.25</v>
      </c>
      <c r="J26" s="5">
        <f>I26-G26-H26</f>
        <v/>
      </c>
      <c r="K26" s="6">
        <f>J26/I26</f>
        <v/>
      </c>
    </row>
    <row r="27">
      <c r="A27" s="2" t="inlineStr">
        <is>
          <t>PRJ-2025-026</t>
        </is>
      </c>
      <c r="B27" s="2" t="inlineStr">
        <is>
          <t>Autotrasporti Langhe S.r.l.</t>
        </is>
      </c>
      <c r="C27" s="2" t="inlineStr">
        <is>
          <t>Cruscotto dati</t>
        </is>
      </c>
      <c r="D27" s="3" t="n">
        <v>45845</v>
      </c>
      <c r="E27" s="3" t="n">
        <v>45972</v>
      </c>
      <c r="F27" s="4" t="n">
        <v>462</v>
      </c>
      <c r="G27" s="5" t="n">
        <v>17204.89</v>
      </c>
      <c r="H27" s="5" t="n">
        <v>3314.97</v>
      </c>
      <c r="I27" s="5" t="n">
        <v>28239.68</v>
      </c>
      <c r="J27" s="5">
        <f>I27-G27-H27</f>
        <v/>
      </c>
      <c r="K27" s="6">
        <f>J27/I27</f>
        <v/>
      </c>
    </row>
    <row r="28">
      <c r="A28" s="2" t="inlineStr">
        <is>
          <t>PRJ-2025-027</t>
        </is>
      </c>
      <c r="B28" s="2" t="inlineStr">
        <is>
          <t>Arredo Design Brianza S.r.l.</t>
        </is>
      </c>
      <c r="C28" s="2" t="inlineStr">
        <is>
          <t>Consulenza sicurezza</t>
        </is>
      </c>
      <c r="D28" s="3" t="n">
        <v>45849</v>
      </c>
      <c r="E28" s="3" t="n">
        <v>45958</v>
      </c>
      <c r="F28" s="4" t="n">
        <v>548</v>
      </c>
      <c r="G28" s="5" t="n">
        <v>21169.18</v>
      </c>
      <c r="H28" s="5" t="n">
        <v>1616.13</v>
      </c>
      <c r="I28" s="5" t="n">
        <v>30246.41</v>
      </c>
      <c r="J28" s="5">
        <f>I28-G28-H28</f>
        <v/>
      </c>
      <c r="K28" s="6">
        <f>J28/I28</f>
        <v/>
      </c>
    </row>
    <row r="29">
      <c r="A29" s="2" t="inlineStr">
        <is>
          <t>PRJ-2025-028</t>
        </is>
      </c>
      <c r="B29" s="2" t="inlineStr">
        <is>
          <t>Cartotecnica Biellese S.p.A.</t>
        </is>
      </c>
      <c r="C29" s="2" t="inlineStr">
        <is>
          <t>Cruscotto dati</t>
        </is>
      </c>
      <c r="D29" s="3" t="n">
        <v>45728</v>
      </c>
      <c r="E29" s="3" t="n">
        <v>45824</v>
      </c>
      <c r="F29" s="4" t="n">
        <v>128</v>
      </c>
      <c r="G29" s="5" t="n">
        <v>4919.28</v>
      </c>
      <c r="H29" s="5" t="n">
        <v>422.49</v>
      </c>
      <c r="I29" s="5" t="n">
        <v>7489.46</v>
      </c>
      <c r="J29" s="5">
        <f>I29-G29-H29</f>
        <v/>
      </c>
      <c r="K29" s="6">
        <f>J29/I29</f>
        <v/>
      </c>
    </row>
    <row r="30">
      <c r="A30" s="2" t="inlineStr">
        <is>
          <t>PRJ-2025-029</t>
        </is>
      </c>
      <c r="B30" s="2" t="inlineStr">
        <is>
          <t>Officine Valtellina S.p.A.</t>
        </is>
      </c>
      <c r="C30" s="2" t="inlineStr">
        <is>
          <t>Applicativo web</t>
        </is>
      </c>
      <c r="D30" s="3" t="n">
        <v>45971</v>
      </c>
      <c r="E30" s="3" t="n">
        <v>46190</v>
      </c>
      <c r="F30" s="4" t="n">
        <v>772</v>
      </c>
      <c r="G30" s="5" t="n">
        <v>31059.09</v>
      </c>
      <c r="H30" s="5" t="n">
        <v>1786.7</v>
      </c>
      <c r="I30" s="5" t="n">
        <v>44005.15</v>
      </c>
      <c r="J30" s="5">
        <f>I30-G30-H30</f>
        <v/>
      </c>
      <c r="K30" s="6">
        <f>J30/I30</f>
        <v/>
      </c>
    </row>
    <row r="31">
      <c r="A31" s="2" t="inlineStr">
        <is>
          <t>PRJ-2025-030</t>
        </is>
      </c>
      <c r="B31" s="2" t="inlineStr">
        <is>
          <t>Meccanica di Precisione Lombarda S.r.l.</t>
        </is>
      </c>
      <c r="C31" s="2" t="inlineStr">
        <is>
          <t>Consulenza sicurezza</t>
        </is>
      </c>
      <c r="D31" s="3" t="n">
        <v>45672</v>
      </c>
      <c r="E31" s="3" t="n">
        <v>45828</v>
      </c>
      <c r="F31" s="4" t="n">
        <v>843</v>
      </c>
      <c r="G31" s="5" t="n">
        <v>28639.33</v>
      </c>
      <c r="H31" s="5" t="n">
        <v>1633.5</v>
      </c>
      <c r="I31" s="5" t="n">
        <v>47021.04</v>
      </c>
      <c r="J31" s="5">
        <f>I31-G31-H31</f>
        <v/>
      </c>
      <c r="K31" s="6">
        <f>J31/I31</f>
        <v/>
      </c>
    </row>
    <row r="32">
      <c r="A32" s="2" t="inlineStr">
        <is>
          <t>PRJ-2025-031</t>
        </is>
      </c>
      <c r="B32" s="2" t="inlineStr">
        <is>
          <t>Plastica Novarese S.p.A.</t>
        </is>
      </c>
      <c r="C32" s="2" t="inlineStr">
        <is>
          <t>Cruscotto dati</t>
        </is>
      </c>
      <c r="D32" s="3" t="n">
        <v>45942</v>
      </c>
      <c r="E32" s="3" t="n">
        <v>46085</v>
      </c>
      <c r="F32" s="4" t="n">
        <v>642</v>
      </c>
      <c r="G32" s="5" t="n">
        <v>23260.94</v>
      </c>
      <c r="H32" s="5" t="n">
        <v>2007.2</v>
      </c>
      <c r="I32" s="5" t="n">
        <v>39134.17</v>
      </c>
      <c r="J32" s="5">
        <f>I32-G32-H32</f>
        <v/>
      </c>
      <c r="K32" s="6">
        <f>J32/I32</f>
        <v/>
      </c>
    </row>
    <row r="33">
      <c r="A33" s="2" t="inlineStr">
        <is>
          <t>PRJ-2025-032</t>
        </is>
      </c>
      <c r="B33" s="2" t="inlineStr">
        <is>
          <t>Officine Valtellina S.p.A.</t>
        </is>
      </c>
      <c r="C33" s="2" t="inlineStr">
        <is>
          <t>Cruscotto dati</t>
        </is>
      </c>
      <c r="D33" s="3" t="n">
        <v>45902</v>
      </c>
      <c r="E33" s="3" t="n">
        <v>45948</v>
      </c>
      <c r="F33" s="4" t="n">
        <v>349</v>
      </c>
      <c r="G33" s="5" t="n">
        <v>11879.27</v>
      </c>
      <c r="H33" s="5" t="n">
        <v>2675.97</v>
      </c>
      <c r="I33" s="5" t="n">
        <v>23071.12</v>
      </c>
      <c r="J33" s="5">
        <f>I33-G33-H33</f>
        <v/>
      </c>
      <c r="K33" s="6">
        <f>J33/I33</f>
        <v/>
      </c>
    </row>
    <row r="34">
      <c r="A34" s="2" t="inlineStr">
        <is>
          <t>PRJ-2025-033</t>
        </is>
      </c>
      <c r="B34" s="2" t="inlineStr">
        <is>
          <t>Meccanica di Precisione Lombarda S.r.l.</t>
        </is>
      </c>
      <c r="C34" s="2" t="inlineStr">
        <is>
          <t>Manutenzione evolutiva</t>
        </is>
      </c>
      <c r="D34" s="3" t="n">
        <v>45862</v>
      </c>
      <c r="E34" s="3" t="n">
        <v>45950</v>
      </c>
      <c r="F34" s="4" t="n">
        <v>370</v>
      </c>
      <c r="G34" s="5" t="n">
        <v>14177.06</v>
      </c>
      <c r="H34" s="5" t="n">
        <v>1714.02</v>
      </c>
      <c r="I34" s="5" t="n">
        <v>23387.29</v>
      </c>
      <c r="J34" s="5">
        <f>I34-G34-H34</f>
        <v/>
      </c>
      <c r="K34" s="6">
        <f>J34/I34</f>
        <v/>
      </c>
    </row>
    <row r="35">
      <c r="A35" s="2" t="inlineStr">
        <is>
          <t>PRJ-2025-034</t>
        </is>
      </c>
      <c r="B35" s="2" t="inlineStr">
        <is>
          <t>Fondazione Cultura e Territorio</t>
        </is>
      </c>
      <c r="C35" s="2" t="inlineStr">
        <is>
          <t>Manutenzione evolutiva</t>
        </is>
      </c>
      <c r="D35" s="3" t="n">
        <v>45754</v>
      </c>
      <c r="E35" s="3" t="n">
        <v>45828</v>
      </c>
      <c r="F35" s="4" t="n">
        <v>267</v>
      </c>
      <c r="G35" s="5" t="n">
        <v>9979.139999999999</v>
      </c>
      <c r="H35" s="5" t="n">
        <v>1674.7</v>
      </c>
      <c r="I35" s="5" t="n">
        <v>15496.22</v>
      </c>
      <c r="J35" s="5">
        <f>I35-G35-H35</f>
        <v/>
      </c>
      <c r="K35" s="6">
        <f>J35/I35</f>
        <v/>
      </c>
    </row>
    <row r="36">
      <c r="A36" s="2" t="inlineStr">
        <is>
          <t>PRJ-2025-035</t>
        </is>
      </c>
      <c r="B36" s="2" t="inlineStr">
        <is>
          <t>Studio Commerciale Orsini</t>
        </is>
      </c>
      <c r="C36" s="2" t="inlineStr">
        <is>
          <t>Applicativo web</t>
        </is>
      </c>
      <c r="D36" s="3" t="n">
        <v>45719</v>
      </c>
      <c r="E36" s="3" t="n">
        <v>45777</v>
      </c>
      <c r="F36" s="4" t="n">
        <v>608</v>
      </c>
      <c r="G36" s="5" t="n">
        <v>21672.96</v>
      </c>
      <c r="H36" s="5" t="n">
        <v>3899.25</v>
      </c>
      <c r="I36" s="5" t="n">
        <v>36100.23</v>
      </c>
      <c r="J36" s="5">
        <f>I36-G36-H36</f>
        <v/>
      </c>
      <c r="K36" s="6">
        <f>J36/I36</f>
        <v/>
      </c>
    </row>
    <row r="37">
      <c r="A37" s="2" t="inlineStr">
        <is>
          <t>PRJ-2025-036</t>
        </is>
      </c>
      <c r="B37" s="2" t="inlineStr">
        <is>
          <t>Comune di Rivarolo Alto</t>
        </is>
      </c>
      <c r="C37" s="2" t="inlineStr">
        <is>
          <t>App mobile</t>
        </is>
      </c>
      <c r="D37" s="3" t="n">
        <v>45772</v>
      </c>
      <c r="E37" s="3" t="n">
        <v>45868</v>
      </c>
      <c r="F37" s="4" t="n">
        <v>352</v>
      </c>
      <c r="G37" s="5" t="n">
        <v>13808.41</v>
      </c>
      <c r="H37" s="5" t="n">
        <v>609.87</v>
      </c>
      <c r="I37" s="5" t="n">
        <v>21425.25</v>
      </c>
      <c r="J37" s="5">
        <f>I37-G37-H37</f>
        <v/>
      </c>
      <c r="K37" s="6">
        <f>J37/I37</f>
        <v/>
      </c>
    </row>
    <row r="38">
      <c r="A38" s="2" t="inlineStr">
        <is>
          <t>PRJ-2025-037</t>
        </is>
      </c>
      <c r="B38" s="2" t="inlineStr">
        <is>
          <t>Meccanica di Precisione Lombarda S.r.l.</t>
        </is>
      </c>
      <c r="C38" s="2" t="inlineStr">
        <is>
          <t>Applicativo web</t>
        </is>
      </c>
      <c r="D38" s="3" t="n">
        <v>45936</v>
      </c>
      <c r="E38" s="3" t="n">
        <v>46055</v>
      </c>
      <c r="F38" s="4" t="n">
        <v>874</v>
      </c>
      <c r="G38" s="5" t="n">
        <v>30669.24</v>
      </c>
      <c r="H38" s="5" t="n">
        <v>4839.13</v>
      </c>
      <c r="I38" s="5" t="n">
        <v>52616.04</v>
      </c>
      <c r="J38" s="5">
        <f>I38-G38-H38</f>
        <v/>
      </c>
      <c r="K38" s="6">
        <f>J38/I38</f>
        <v/>
      </c>
    </row>
    <row r="39">
      <c r="A39" s="2" t="inlineStr">
        <is>
          <t>PRJ-2025-038</t>
        </is>
      </c>
      <c r="B39" s="2" t="inlineStr">
        <is>
          <t>Centro Medico Polispecialistico Aurora S.r.l.</t>
        </is>
      </c>
      <c r="C39" s="2" t="inlineStr">
        <is>
          <t>App mobile</t>
        </is>
      </c>
      <c r="D39" s="3" t="n">
        <v>45691</v>
      </c>
      <c r="E39" s="3" t="n">
        <v>45891</v>
      </c>
      <c r="F39" s="4" t="n">
        <v>588</v>
      </c>
      <c r="G39" s="5" t="n">
        <v>23707.09</v>
      </c>
      <c r="H39" s="5" t="n">
        <v>2113.92</v>
      </c>
      <c r="I39" s="5" t="n">
        <v>33348.59</v>
      </c>
      <c r="J39" s="5">
        <f>I39-G39-H39</f>
        <v/>
      </c>
      <c r="K39" s="6">
        <f>J39/I39</f>
        <v/>
      </c>
    </row>
    <row r="40">
      <c r="A40" s="2" t="inlineStr">
        <is>
          <t>PRJ-2025-039</t>
        </is>
      </c>
      <c r="B40" s="2" t="inlineStr">
        <is>
          <t>Energie Rinnovabili Cuneesi S.r.l.</t>
        </is>
      </c>
      <c r="C40" s="2" t="inlineStr">
        <is>
          <t>Consulenza sicurezza</t>
        </is>
      </c>
      <c r="D40" s="3" t="n">
        <v>45695</v>
      </c>
      <c r="E40" s="3" t="n">
        <v>45856</v>
      </c>
      <c r="F40" s="4" t="n">
        <v>1026</v>
      </c>
      <c r="G40" s="5" t="n">
        <v>35811.76</v>
      </c>
      <c r="H40" s="5" t="n">
        <v>4265.13</v>
      </c>
      <c r="I40" s="5" t="n">
        <v>55712.18</v>
      </c>
      <c r="J40" s="5">
        <f>I40-G40-H40</f>
        <v/>
      </c>
      <c r="K40" s="6">
        <f>J40/I40</f>
        <v/>
      </c>
    </row>
    <row r="41">
      <c r="A41" s="2" t="inlineStr">
        <is>
          <t>PRJ-2025-040</t>
        </is>
      </c>
      <c r="B41" s="2" t="inlineStr">
        <is>
          <t>Logistica Piemonte Nord S.r.l.</t>
        </is>
      </c>
      <c r="C41" s="2" t="inlineStr">
        <is>
          <t>Portale servizi</t>
        </is>
      </c>
      <c r="D41" s="3" t="n">
        <v>45705</v>
      </c>
      <c r="E41" s="3" t="n">
        <v>45745</v>
      </c>
      <c r="F41" s="4" t="n">
        <v>589</v>
      </c>
      <c r="G41" s="5" t="n">
        <v>21717.56</v>
      </c>
      <c r="H41" s="5" t="n">
        <v>3562.07</v>
      </c>
      <c r="I41" s="5" t="n">
        <v>32799.76</v>
      </c>
      <c r="J41" s="5">
        <f>I41-G41-H41</f>
        <v/>
      </c>
      <c r="K41" s="6">
        <f>J41/I41</f>
        <v/>
      </c>
    </row>
    <row r="42">
      <c r="A42" s="2" t="inlineStr">
        <is>
          <t>PRJ-2025-041</t>
        </is>
      </c>
      <c r="B42" s="2" t="inlineStr">
        <is>
          <t>Energie Rinnovabili Cuneesi S.r.l.</t>
        </is>
      </c>
      <c r="C42" s="2" t="inlineStr">
        <is>
          <t>Cruscotto dati</t>
        </is>
      </c>
      <c r="D42" s="3" t="n">
        <v>45843</v>
      </c>
      <c r="E42" s="3" t="n">
        <v>46025</v>
      </c>
      <c r="F42" s="4" t="n">
        <v>323</v>
      </c>
      <c r="G42" s="5" t="n">
        <v>12844.65</v>
      </c>
      <c r="H42" s="5" t="n">
        <v>1155.06</v>
      </c>
      <c r="I42" s="5" t="n">
        <v>19207.03</v>
      </c>
      <c r="J42" s="5">
        <f>I42-G42-H42</f>
        <v/>
      </c>
      <c r="K42" s="6">
        <f>J42/I42</f>
        <v/>
      </c>
    </row>
    <row r="43">
      <c r="A43" s="2" t="inlineStr">
        <is>
          <t>PRJ-2025-042</t>
        </is>
      </c>
      <c r="B43" s="2" t="inlineStr">
        <is>
          <t>Ferro &amp; Figli Carpenterie S.r.l.</t>
        </is>
      </c>
      <c r="C43" s="2" t="inlineStr">
        <is>
          <t>Portale servizi</t>
        </is>
      </c>
      <c r="D43" s="3" t="n">
        <v>45734</v>
      </c>
      <c r="E43" s="3" t="n">
        <v>45830</v>
      </c>
      <c r="F43" s="4" t="n">
        <v>125</v>
      </c>
      <c r="G43" s="5" t="n">
        <v>4388.64</v>
      </c>
      <c r="H43" s="5" t="n">
        <v>820.17</v>
      </c>
      <c r="I43" s="5" t="n">
        <v>8070.45</v>
      </c>
      <c r="J43" s="5">
        <f>I43-G43-H43</f>
        <v/>
      </c>
      <c r="K43" s="6">
        <f>J43/I43</f>
        <v/>
      </c>
    </row>
    <row r="44">
      <c r="A44" s="2" t="inlineStr">
        <is>
          <t>PRJ-2025-043</t>
        </is>
      </c>
      <c r="B44" s="2" t="inlineStr">
        <is>
          <t>TecnoPack Italia S.r.l.</t>
        </is>
      </c>
      <c r="C44" s="2" t="inlineStr">
        <is>
          <t>Formazione</t>
        </is>
      </c>
      <c r="D44" s="3" t="n">
        <v>45848</v>
      </c>
      <c r="E44" s="3" t="n">
        <v>45965</v>
      </c>
      <c r="F44" s="4" t="n">
        <v>100</v>
      </c>
      <c r="G44" s="5" t="n">
        <v>3579.52</v>
      </c>
      <c r="H44" s="5" t="n">
        <v>649.54</v>
      </c>
      <c r="I44" s="5" t="n">
        <v>6467.96</v>
      </c>
      <c r="J44" s="5">
        <f>I44-G44-H44</f>
        <v/>
      </c>
      <c r="K44" s="6">
        <f>J44/I44</f>
        <v/>
      </c>
    </row>
    <row r="45">
      <c r="A45" s="2" t="inlineStr">
        <is>
          <t>PRJ-2025-044</t>
        </is>
      </c>
      <c r="B45" s="2" t="inlineStr">
        <is>
          <t>Hotel e Resort Lago Maggiore S.r.l.</t>
        </is>
      </c>
      <c r="C45" s="2" t="inlineStr">
        <is>
          <t>Manutenzione evolutiva</t>
        </is>
      </c>
      <c r="D45" s="3" t="n">
        <v>45814</v>
      </c>
      <c r="E45" s="3" t="n">
        <v>45969</v>
      </c>
      <c r="F45" s="4" t="n">
        <v>645</v>
      </c>
      <c r="G45" s="5" t="n">
        <v>23447.58</v>
      </c>
      <c r="H45" s="5" t="n">
        <v>1502.95</v>
      </c>
      <c r="I45" s="5" t="n">
        <v>40257.39</v>
      </c>
      <c r="J45" s="5">
        <f>I45-G45-H45</f>
        <v/>
      </c>
      <c r="K45" s="6">
        <f>J45/I45</f>
        <v/>
      </c>
    </row>
    <row r="46">
      <c r="A46" s="2" t="inlineStr">
        <is>
          <t>PRJ-2025-045</t>
        </is>
      </c>
      <c r="B46" s="2" t="inlineStr">
        <is>
          <t>Studio Associato Beltrame e Soci</t>
        </is>
      </c>
      <c r="C46" s="2" t="inlineStr">
        <is>
          <t>Cruscotto dati</t>
        </is>
      </c>
      <c r="D46" s="3" t="n">
        <v>45884</v>
      </c>
      <c r="E46" s="3" t="n">
        <v>46058</v>
      </c>
      <c r="F46" s="4" t="n">
        <v>520</v>
      </c>
      <c r="G46" s="5" t="n">
        <v>20793.61</v>
      </c>
      <c r="H46" s="5" t="n">
        <v>1632.42</v>
      </c>
      <c r="I46" s="5" t="n">
        <v>29784.82</v>
      </c>
      <c r="J46" s="5">
        <f>I46-G46-H46</f>
        <v/>
      </c>
      <c r="K46" s="6">
        <f>J46/I46</f>
        <v/>
      </c>
    </row>
    <row r="47">
      <c r="A47" s="2" t="inlineStr">
        <is>
          <t>PRJ-2025-046</t>
        </is>
      </c>
      <c r="B47" s="2" t="inlineStr">
        <is>
          <t>Biofarma Subalpina S.r.l.</t>
        </is>
      </c>
      <c r="C47" s="2" t="inlineStr">
        <is>
          <t>Integrazione gestionale</t>
        </is>
      </c>
      <c r="D47" s="3" t="n">
        <v>45674</v>
      </c>
      <c r="E47" s="3" t="n">
        <v>45901</v>
      </c>
      <c r="F47" s="4" t="n">
        <v>224</v>
      </c>
      <c r="G47" s="5" t="n">
        <v>9023.52</v>
      </c>
      <c r="H47" s="5" t="n">
        <v>870.6</v>
      </c>
      <c r="I47" s="5" t="n">
        <v>12258.39</v>
      </c>
      <c r="J47" s="5">
        <f>I47-G47-H47</f>
        <v/>
      </c>
      <c r="K47" s="6">
        <f>J47/I47</f>
        <v/>
      </c>
    </row>
    <row r="48">
      <c r="A48" s="2" t="inlineStr">
        <is>
          <t>PRJ-2025-047</t>
        </is>
      </c>
      <c r="B48" s="2" t="inlineStr">
        <is>
          <t>Casearia Valle Grana S.r.l.</t>
        </is>
      </c>
      <c r="C48" s="2" t="inlineStr">
        <is>
          <t>Portale servizi</t>
        </is>
      </c>
      <c r="D48" s="3" t="n">
        <v>45862</v>
      </c>
      <c r="E48" s="3" t="n">
        <v>46024</v>
      </c>
      <c r="F48" s="4" t="n">
        <v>662</v>
      </c>
      <c r="G48" s="5" t="n">
        <v>25543.08</v>
      </c>
      <c r="H48" s="5" t="n">
        <v>1637.45</v>
      </c>
      <c r="I48" s="5" t="n">
        <v>37160.11</v>
      </c>
      <c r="J48" s="5">
        <f>I48-G48-H48</f>
        <v/>
      </c>
      <c r="K48" s="6">
        <f>J48/I48</f>
        <v/>
      </c>
    </row>
    <row r="49">
      <c r="A49" s="2" t="inlineStr">
        <is>
          <t>PRJ-2025-048</t>
        </is>
      </c>
      <c r="B49" s="2" t="inlineStr">
        <is>
          <t>Tessile Astigiana S.r.l.</t>
        </is>
      </c>
      <c r="C49" s="2" t="inlineStr">
        <is>
          <t>Consulenza sicurezza</t>
        </is>
      </c>
      <c r="D49" s="3" t="n">
        <v>45678</v>
      </c>
      <c r="E49" s="3" t="n">
        <v>45825</v>
      </c>
      <c r="F49" s="4" t="n">
        <v>295</v>
      </c>
      <c r="G49" s="5" t="n">
        <v>10606.01</v>
      </c>
      <c r="H49" s="5" t="n">
        <v>1156.23</v>
      </c>
      <c r="I49" s="5" t="n">
        <v>17468.31</v>
      </c>
      <c r="J49" s="5">
        <f>I49-G49-H49</f>
        <v/>
      </c>
      <c r="K49" s="6">
        <f>J49/I49</f>
        <v/>
      </c>
    </row>
    <row r="50">
      <c r="A50" s="2" t="inlineStr">
        <is>
          <t>PRJ-2025-049</t>
        </is>
      </c>
      <c r="B50" s="2" t="inlineStr">
        <is>
          <t>Logistica Piemonte Nord S.r.l.</t>
        </is>
      </c>
      <c r="C50" s="2" t="inlineStr">
        <is>
          <t>Portale servizi</t>
        </is>
      </c>
      <c r="D50" s="3" t="n">
        <v>45963</v>
      </c>
      <c r="E50" s="3" t="n">
        <v>46151</v>
      </c>
      <c r="F50" s="4" t="n">
        <v>134</v>
      </c>
      <c r="G50" s="5" t="n">
        <v>4559.85</v>
      </c>
      <c r="H50" s="5" t="n">
        <v>387.74</v>
      </c>
      <c r="I50" s="5" t="n">
        <v>7348.17</v>
      </c>
      <c r="J50" s="5">
        <f>I50-G50-H50</f>
        <v/>
      </c>
      <c r="K50" s="6">
        <f>J50/I50</f>
        <v/>
      </c>
    </row>
    <row r="51">
      <c r="A51" s="2" t="inlineStr">
        <is>
          <t>PRJ-2025-050</t>
        </is>
      </c>
      <c r="B51" s="2" t="inlineStr">
        <is>
          <t>Rubinetterie Cusiane S.p.A.</t>
        </is>
      </c>
      <c r="C51" s="2" t="inlineStr">
        <is>
          <t>Portale servizi</t>
        </is>
      </c>
      <c r="D51" s="3" t="n">
        <v>45682</v>
      </c>
      <c r="E51" s="3" t="n">
        <v>45914</v>
      </c>
      <c r="F51" s="4" t="n">
        <v>690</v>
      </c>
      <c r="G51" s="5" t="n">
        <v>26084.37</v>
      </c>
      <c r="H51" s="5" t="n">
        <v>3783.13</v>
      </c>
      <c r="I51" s="5" t="n">
        <v>37680.74</v>
      </c>
      <c r="J51" s="5">
        <f>I51-G51-H51</f>
        <v/>
      </c>
      <c r="K51" s="6">
        <f>J51/I51</f>
        <v/>
      </c>
    </row>
    <row r="52">
      <c r="A52" s="2" t="inlineStr">
        <is>
          <t>PRJ-2025-051</t>
        </is>
      </c>
      <c r="B52" s="2" t="inlineStr">
        <is>
          <t>Edilizia Sostenibile Torino S.r.l.</t>
        </is>
      </c>
      <c r="C52" s="2" t="inlineStr">
        <is>
          <t>Applicativo web</t>
        </is>
      </c>
      <c r="D52" s="3" t="n">
        <v>45896</v>
      </c>
      <c r="E52" s="3" t="n">
        <v>46088</v>
      </c>
      <c r="F52" s="4" t="n">
        <v>504</v>
      </c>
      <c r="G52" s="5" t="n">
        <v>19553.06</v>
      </c>
      <c r="H52" s="5" t="n">
        <v>822.87</v>
      </c>
      <c r="I52" s="5" t="n">
        <v>32785.58</v>
      </c>
      <c r="J52" s="5">
        <f>I52-G52-H52</f>
        <v/>
      </c>
      <c r="K52" s="6">
        <f>J52/I52</f>
        <v/>
      </c>
    </row>
    <row r="53">
      <c r="A53" s="2" t="inlineStr">
        <is>
          <t>PRJ-2025-052</t>
        </is>
      </c>
      <c r="B53" s="2" t="inlineStr">
        <is>
          <t>Calzaturificio Monregalese S.r.l.</t>
        </is>
      </c>
      <c r="C53" s="2" t="inlineStr">
        <is>
          <t>Integrazione gestionale</t>
        </is>
      </c>
      <c r="D53" s="3" t="n">
        <v>45927</v>
      </c>
      <c r="E53" s="3" t="n">
        <v>46027</v>
      </c>
      <c r="F53" s="4" t="n">
        <v>353</v>
      </c>
      <c r="G53" s="5" t="n">
        <v>13487.63</v>
      </c>
      <c r="H53" s="5" t="n">
        <v>2259.36</v>
      </c>
      <c r="I53" s="5" t="n">
        <v>22823.31</v>
      </c>
      <c r="J53" s="5">
        <f>I53-G53-H53</f>
        <v/>
      </c>
      <c r="K53" s="6">
        <f>J53/I53</f>
        <v/>
      </c>
    </row>
    <row r="54">
      <c r="A54" s="2" t="inlineStr">
        <is>
          <t>PRJ-2025-053</t>
        </is>
      </c>
      <c r="B54" s="2" t="inlineStr">
        <is>
          <t>Comune di Valsusa Bassa</t>
        </is>
      </c>
      <c r="C54" s="2" t="inlineStr">
        <is>
          <t>Portale servizi</t>
        </is>
      </c>
      <c r="D54" s="3" t="n">
        <v>45803</v>
      </c>
      <c r="E54" s="3" t="n">
        <v>45868</v>
      </c>
      <c r="F54" s="4" t="n">
        <v>697</v>
      </c>
      <c r="G54" s="5" t="n">
        <v>24446.93</v>
      </c>
      <c r="H54" s="5" t="n">
        <v>3681.52</v>
      </c>
      <c r="I54" s="5" t="n">
        <v>45298.71</v>
      </c>
      <c r="J54" s="5">
        <f>I54-G54-H54</f>
        <v/>
      </c>
      <c r="K54" s="6">
        <f>J54/I54</f>
        <v/>
      </c>
    </row>
    <row r="55">
      <c r="A55" s="2" t="inlineStr">
        <is>
          <t>PRJ-2025-054</t>
        </is>
      </c>
      <c r="B55" s="2" t="inlineStr">
        <is>
          <t>Calzaturificio Monregalese S.r.l.</t>
        </is>
      </c>
      <c r="C55" s="2" t="inlineStr">
        <is>
          <t>Manutenzione evolutiva</t>
        </is>
      </c>
      <c r="D55" s="3" t="n">
        <v>45694</v>
      </c>
      <c r="E55" s="3" t="n">
        <v>45909</v>
      </c>
      <c r="F55" s="4" t="n">
        <v>205</v>
      </c>
      <c r="G55" s="5" t="n">
        <v>7905.6</v>
      </c>
      <c r="H55" s="5" t="n">
        <v>1284.87</v>
      </c>
      <c r="I55" s="5" t="n">
        <v>12400.03</v>
      </c>
      <c r="J55" s="5">
        <f>I55-G55-H55</f>
        <v/>
      </c>
      <c r="K55" s="6">
        <f>J55/I55</f>
        <v/>
      </c>
    </row>
    <row r="56">
      <c r="A56" s="7" t="inlineStr">
        <is>
          <t>Totale commesse</t>
        </is>
      </c>
      <c r="B56" s="8" t="n"/>
      <c r="C56" s="8" t="n"/>
      <c r="D56" s="8" t="n"/>
      <c r="E56" s="8" t="n"/>
      <c r="F56" s="9">
        <f>SUM(F2:F55)</f>
        <v/>
      </c>
      <c r="G56" s="10">
        <f>SUM(G2:G55)</f>
        <v/>
      </c>
      <c r="H56" s="10">
        <f>SUM(H2:H55)</f>
        <v/>
      </c>
      <c r="I56" s="10">
        <f>SUM(I2:I55)</f>
        <v/>
      </c>
      <c r="J56" s="10">
        <f>SUM(J2:J55)</f>
        <v/>
      </c>
      <c r="K56" s="8" t="n"/>
    </row>
  </sheetData>
  <autoFilter ref="A1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2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6" customWidth="1" min="24" max="24"/>
    <col width="16" customWidth="1" min="25" max="25"/>
    <col width="14" customWidth="1" min="26" max="26"/>
  </cols>
  <sheetData>
    <row r="1">
      <c r="A1" s="11" t="inlineStr">
        <is>
          <t>Budget 2026 e consuntivo gennaio-agosto 2026 per conto (i consuntivi sono dati di gestione provvisori).</t>
        </is>
      </c>
    </row>
    <row r="3" ht="32" customHeight="1">
      <c r="A3" s="1" t="inlineStr">
        <is>
          <t>Codice</t>
        </is>
      </c>
      <c r="B3" s="1" t="inlineStr">
        <is>
          <t>Conto</t>
        </is>
      </c>
      <c r="C3" s="1" t="inlineStr">
        <is>
          <t>Budget Gen</t>
        </is>
      </c>
      <c r="D3" s="1" t="inlineStr">
        <is>
          <t>Budget Feb</t>
        </is>
      </c>
      <c r="E3" s="1" t="inlineStr">
        <is>
          <t>Budget Mar</t>
        </is>
      </c>
      <c r="F3" s="1" t="inlineStr">
        <is>
          <t>Budget Apr</t>
        </is>
      </c>
      <c r="G3" s="1" t="inlineStr">
        <is>
          <t>Budget Mag</t>
        </is>
      </c>
      <c r="H3" s="1" t="inlineStr">
        <is>
          <t>Budget Giu</t>
        </is>
      </c>
      <c r="I3" s="1" t="inlineStr">
        <is>
          <t>Budget Lug</t>
        </is>
      </c>
      <c r="J3" s="1" t="inlineStr">
        <is>
          <t>Budget Ago</t>
        </is>
      </c>
      <c r="K3" s="1" t="inlineStr">
        <is>
          <t>Budget Set</t>
        </is>
      </c>
      <c r="L3" s="1" t="inlineStr">
        <is>
          <t>Budget Ott</t>
        </is>
      </c>
      <c r="M3" s="1" t="inlineStr">
        <is>
          <t>Budget Nov</t>
        </is>
      </c>
      <c r="N3" s="1" t="inlineStr">
        <is>
          <t>Budget Dic</t>
        </is>
      </c>
      <c r="O3" s="1" t="inlineStr">
        <is>
          <t>Budget anno</t>
        </is>
      </c>
      <c r="P3" s="1" t="inlineStr">
        <is>
          <t>Consuntivo Gen</t>
        </is>
      </c>
      <c r="Q3" s="1" t="inlineStr">
        <is>
          <t>Consuntivo Feb</t>
        </is>
      </c>
      <c r="R3" s="1" t="inlineStr">
        <is>
          <t>Consuntivo Mar</t>
        </is>
      </c>
      <c r="S3" s="1" t="inlineStr">
        <is>
          <t>Consuntivo Apr</t>
        </is>
      </c>
      <c r="T3" s="1" t="inlineStr">
        <is>
          <t>Consuntivo Mag</t>
        </is>
      </c>
      <c r="U3" s="1" t="inlineStr">
        <is>
          <t>Consuntivo Giu</t>
        </is>
      </c>
      <c r="V3" s="1" t="inlineStr">
        <is>
          <t>Consuntivo Lug</t>
        </is>
      </c>
      <c r="W3" s="1" t="inlineStr">
        <is>
          <t>Consuntivo Ago</t>
        </is>
      </c>
      <c r="X3" s="1" t="inlineStr">
        <is>
          <t>Consuntivo gen-ago</t>
        </is>
      </c>
      <c r="Y3" s="1" t="inlineStr">
        <is>
          <t>Budget gen-ago</t>
        </is>
      </c>
      <c r="Z3" s="1" t="inlineStr">
        <is>
          <t>Scostamento</t>
        </is>
      </c>
    </row>
    <row r="4">
      <c r="A4" s="2" t="inlineStr">
        <is>
          <t>410.010</t>
        </is>
      </c>
      <c r="B4" s="2" t="inlineStr">
        <is>
          <t>Sviluppo di applicativi web su commessa</t>
        </is>
      </c>
      <c r="C4" s="5" t="n">
        <v>18334.36</v>
      </c>
      <c r="D4" s="5" t="n">
        <v>22149.38</v>
      </c>
      <c r="E4" s="5" t="n">
        <v>23861.5</v>
      </c>
      <c r="F4" s="5" t="n">
        <v>25434.24</v>
      </c>
      <c r="G4" s="5" t="n">
        <v>23899.91</v>
      </c>
      <c r="H4" s="5" t="n">
        <v>26049.03</v>
      </c>
      <c r="I4" s="5" t="n">
        <v>23154.57</v>
      </c>
      <c r="J4" s="5" t="n">
        <v>15912.89</v>
      </c>
      <c r="K4" s="5" t="n">
        <v>24500.94</v>
      </c>
      <c r="L4" s="5" t="n">
        <v>26683.14</v>
      </c>
      <c r="M4" s="5" t="n">
        <v>27392.15</v>
      </c>
      <c r="N4" s="5" t="n">
        <v>34383.67</v>
      </c>
      <c r="O4" s="5">
        <f>SUM(C2:N2)</f>
        <v/>
      </c>
      <c r="P4" s="5" t="n">
        <v>17397.03</v>
      </c>
      <c r="Q4" s="5" t="n">
        <v>22128.44</v>
      </c>
      <c r="R4" s="5" t="n">
        <v>23177.89</v>
      </c>
      <c r="S4" s="5" t="n">
        <v>24488.86</v>
      </c>
      <c r="T4" s="5" t="n">
        <v>24577.84</v>
      </c>
      <c r="U4" s="5" t="n">
        <v>26143.73</v>
      </c>
      <c r="V4" s="5" t="n">
        <v>23836.03</v>
      </c>
      <c r="W4" s="5" t="n">
        <v>16429.17</v>
      </c>
      <c r="X4" s="5">
        <f>SUM(P2:W2)</f>
        <v/>
      </c>
      <c r="Y4" s="5">
        <f>SUM(C2:J2)</f>
        <v/>
      </c>
      <c r="Z4" s="5">
        <f>X2-Y2</f>
        <v/>
      </c>
    </row>
    <row r="5">
      <c r="A5" s="2" t="inlineStr">
        <is>
          <t>410.020</t>
        </is>
      </c>
      <c r="B5" s="2" t="inlineStr">
        <is>
          <t>Sviluppo di applicazioni mobile su commessa</t>
        </is>
      </c>
      <c r="C5" s="5" t="n">
        <v>9954.84</v>
      </c>
      <c r="D5" s="5" t="n">
        <v>11148.98</v>
      </c>
      <c r="E5" s="5" t="n">
        <v>11707.59</v>
      </c>
      <c r="F5" s="5" t="n">
        <v>11523.76</v>
      </c>
      <c r="G5" s="5" t="n">
        <v>13023.16</v>
      </c>
      <c r="H5" s="5" t="n">
        <v>13166.54</v>
      </c>
      <c r="I5" s="5" t="n">
        <v>13011.68</v>
      </c>
      <c r="J5" s="5" t="n">
        <v>7464.29</v>
      </c>
      <c r="K5" s="5" t="n">
        <v>11004.48</v>
      </c>
      <c r="L5" s="5" t="n">
        <v>13653.07</v>
      </c>
      <c r="M5" s="5" t="n">
        <v>12824.69</v>
      </c>
      <c r="N5" s="5" t="n">
        <v>15037.22</v>
      </c>
      <c r="O5" s="5">
        <f>SUM(C3:N3)</f>
        <v/>
      </c>
      <c r="P5" s="5" t="n">
        <v>10222.08</v>
      </c>
      <c r="Q5" s="5" t="n">
        <v>10618.71</v>
      </c>
      <c r="R5" s="5" t="n">
        <v>11665.14</v>
      </c>
      <c r="S5" s="5" t="n">
        <v>11015.84</v>
      </c>
      <c r="T5" s="5" t="n">
        <v>12575.1</v>
      </c>
      <c r="U5" s="5" t="n">
        <v>13260.88</v>
      </c>
      <c r="V5" s="5" t="n">
        <v>13184.97</v>
      </c>
      <c r="W5" s="5" t="n">
        <v>7762.27</v>
      </c>
      <c r="X5" s="5">
        <f>SUM(P3:W3)</f>
        <v/>
      </c>
      <c r="Y5" s="5">
        <f>SUM(C3:J3)</f>
        <v/>
      </c>
      <c r="Z5" s="5">
        <f>X3-Y3</f>
        <v/>
      </c>
    </row>
    <row r="6">
      <c r="A6" s="2" t="inlineStr">
        <is>
          <t>410.030</t>
        </is>
      </c>
      <c r="B6" s="2" t="inlineStr">
        <is>
          <t>Integrazioni e API verso sistemi gestionali dei clienti</t>
        </is>
      </c>
      <c r="C6" s="5" t="n">
        <v>11386.53</v>
      </c>
      <c r="D6" s="5" t="n">
        <v>13411.72</v>
      </c>
      <c r="E6" s="5" t="n">
        <v>15559.91</v>
      </c>
      <c r="F6" s="5" t="n">
        <v>14413.49</v>
      </c>
      <c r="G6" s="5" t="n">
        <v>14849.98</v>
      </c>
      <c r="H6" s="5" t="n">
        <v>16489.83</v>
      </c>
      <c r="I6" s="5" t="n">
        <v>14988.91</v>
      </c>
      <c r="J6" s="5" t="n">
        <v>9130.93</v>
      </c>
      <c r="K6" s="5" t="n">
        <v>14366.77</v>
      </c>
      <c r="L6" s="5" t="n">
        <v>15008.22</v>
      </c>
      <c r="M6" s="5" t="n">
        <v>16428.78</v>
      </c>
      <c r="N6" s="5" t="n">
        <v>19670.63</v>
      </c>
      <c r="O6" s="5">
        <f>SUM(C4:N4)</f>
        <v/>
      </c>
      <c r="P6" s="5" t="n">
        <v>10765.27</v>
      </c>
      <c r="Q6" s="5" t="n">
        <v>13110.84</v>
      </c>
      <c r="R6" s="5" t="n">
        <v>15145.43</v>
      </c>
      <c r="S6" s="5" t="n">
        <v>14213.69</v>
      </c>
      <c r="T6" s="5" t="n">
        <v>14056.52</v>
      </c>
      <c r="U6" s="5" t="n">
        <v>15503.8</v>
      </c>
      <c r="V6" s="5" t="n">
        <v>14922.68</v>
      </c>
      <c r="W6" s="5" t="n">
        <v>8620.99</v>
      </c>
      <c r="X6" s="5">
        <f>SUM(P4:W4)</f>
        <v/>
      </c>
      <c r="Y6" s="5">
        <f>SUM(C4:J4)</f>
        <v/>
      </c>
      <c r="Z6" s="5">
        <f>X4-Y4</f>
        <v/>
      </c>
    </row>
    <row r="7">
      <c r="A7" s="2" t="inlineStr">
        <is>
          <t>410.040</t>
        </is>
      </c>
      <c r="B7" s="2" t="inlineStr">
        <is>
          <t>Personalizzazioni e manutenzione evolutiva</t>
        </is>
      </c>
      <c r="C7" s="5" t="n">
        <v>12711.35</v>
      </c>
      <c r="D7" s="5" t="n">
        <v>13148.9</v>
      </c>
      <c r="E7" s="5" t="n">
        <v>16774.42</v>
      </c>
      <c r="F7" s="5" t="n">
        <v>14828.91</v>
      </c>
      <c r="G7" s="5" t="n">
        <v>15518.08</v>
      </c>
      <c r="H7" s="5" t="n">
        <v>16409.31</v>
      </c>
      <c r="I7" s="5" t="n">
        <v>14672.36</v>
      </c>
      <c r="J7" s="5" t="n">
        <v>9060.98</v>
      </c>
      <c r="K7" s="5" t="n">
        <v>14773.96</v>
      </c>
      <c r="L7" s="5" t="n">
        <v>17371.79</v>
      </c>
      <c r="M7" s="5" t="n">
        <v>17485.29</v>
      </c>
      <c r="N7" s="5" t="n">
        <v>21149.42</v>
      </c>
      <c r="O7" s="5">
        <f>SUM(C5:N5)</f>
        <v/>
      </c>
      <c r="P7" s="5" t="n">
        <v>12587.06</v>
      </c>
      <c r="Q7" s="5" t="n">
        <v>12466.38</v>
      </c>
      <c r="R7" s="5" t="n">
        <v>15831.75</v>
      </c>
      <c r="S7" s="5" t="n">
        <v>14276.96</v>
      </c>
      <c r="T7" s="5" t="n">
        <v>14921.31</v>
      </c>
      <c r="U7" s="5" t="n">
        <v>17486.06</v>
      </c>
      <c r="V7" s="5" t="n">
        <v>14864.07</v>
      </c>
      <c r="W7" s="5" t="n">
        <v>8898.450000000001</v>
      </c>
      <c r="X7" s="5">
        <f>SUM(P5:W5)</f>
        <v/>
      </c>
      <c r="Y7" s="5">
        <f>SUM(C5:J5)</f>
        <v/>
      </c>
      <c r="Z7" s="5">
        <f>X5-Y5</f>
        <v/>
      </c>
    </row>
    <row r="8">
      <c r="A8" s="2" t="inlineStr">
        <is>
          <t>420.010</t>
        </is>
      </c>
      <c r="B8" s="2" t="inlineStr">
        <is>
          <t>Canoni della piattaforma Atlas: piano base</t>
        </is>
      </c>
      <c r="C8" s="5" t="n">
        <v>10170.19</v>
      </c>
      <c r="D8" s="5" t="n">
        <v>10326.46</v>
      </c>
      <c r="E8" s="5" t="n">
        <v>10777.94</v>
      </c>
      <c r="F8" s="5" t="n">
        <v>11040.8</v>
      </c>
      <c r="G8" s="5" t="n">
        <v>10618</v>
      </c>
      <c r="H8" s="5" t="n">
        <v>10373.83</v>
      </c>
      <c r="I8" s="5" t="n">
        <v>11782.65</v>
      </c>
      <c r="J8" s="5" t="n">
        <v>11351.79</v>
      </c>
      <c r="K8" s="5" t="n">
        <v>10757.02</v>
      </c>
      <c r="L8" s="5" t="n">
        <v>11654.29</v>
      </c>
      <c r="M8" s="5" t="n">
        <v>12029.1</v>
      </c>
      <c r="N8" s="5" t="n">
        <v>12502.41</v>
      </c>
      <c r="O8" s="5">
        <f>SUM(C6:N6)</f>
        <v/>
      </c>
      <c r="P8" s="5" t="n">
        <v>10182.13</v>
      </c>
      <c r="Q8" s="5" t="n">
        <v>9850.700000000001</v>
      </c>
      <c r="R8" s="5" t="n">
        <v>10222.29</v>
      </c>
      <c r="S8" s="5" t="n">
        <v>11227.14</v>
      </c>
      <c r="T8" s="5" t="n">
        <v>10466.12</v>
      </c>
      <c r="U8" s="5" t="n">
        <v>10214.95</v>
      </c>
      <c r="V8" s="5" t="n">
        <v>11727.79</v>
      </c>
      <c r="W8" s="5" t="n">
        <v>10859.92</v>
      </c>
      <c r="X8" s="5">
        <f>SUM(P6:W6)</f>
        <v/>
      </c>
      <c r="Y8" s="5">
        <f>SUM(C6:J6)</f>
        <v/>
      </c>
      <c r="Z8" s="5">
        <f>X6-Y6</f>
        <v/>
      </c>
    </row>
    <row r="9">
      <c r="A9" s="2" t="inlineStr">
        <is>
          <t>420.020</t>
        </is>
      </c>
      <c r="B9" s="2" t="inlineStr">
        <is>
          <t>Canoni della piattaforma Atlas: piano professional</t>
        </is>
      </c>
      <c r="C9" s="5" t="n">
        <v>14896.69</v>
      </c>
      <c r="D9" s="5" t="n">
        <v>15589.1</v>
      </c>
      <c r="E9" s="5" t="n">
        <v>16371.08</v>
      </c>
      <c r="F9" s="5" t="n">
        <v>15742.25</v>
      </c>
      <c r="G9" s="5" t="n">
        <v>15907.03</v>
      </c>
      <c r="H9" s="5" t="n">
        <v>15605.13</v>
      </c>
      <c r="I9" s="5" t="n">
        <v>16729.36</v>
      </c>
      <c r="J9" s="5" t="n">
        <v>17362.55</v>
      </c>
      <c r="K9" s="5" t="n">
        <v>16249.47</v>
      </c>
      <c r="L9" s="5" t="n">
        <v>18457.98</v>
      </c>
      <c r="M9" s="5" t="n">
        <v>17367.35</v>
      </c>
      <c r="N9" s="5" t="n">
        <v>18882.82</v>
      </c>
      <c r="O9" s="5">
        <f>SUM(C7:N7)</f>
        <v/>
      </c>
      <c r="P9" s="5" t="n">
        <v>15081.02</v>
      </c>
      <c r="Q9" s="5" t="n">
        <v>16320.88</v>
      </c>
      <c r="R9" s="5" t="n">
        <v>16090.49</v>
      </c>
      <c r="S9" s="5" t="n">
        <v>16826.7</v>
      </c>
      <c r="T9" s="5" t="n">
        <v>16905.1</v>
      </c>
      <c r="U9" s="5" t="n">
        <v>16156.05</v>
      </c>
      <c r="V9" s="5" t="n">
        <v>17455.36</v>
      </c>
      <c r="W9" s="5" t="n">
        <v>18116.68</v>
      </c>
      <c r="X9" s="5">
        <f>SUM(P7:W7)</f>
        <v/>
      </c>
      <c r="Y9" s="5">
        <f>SUM(C7:J7)</f>
        <v/>
      </c>
      <c r="Z9" s="5">
        <f>X7-Y7</f>
        <v/>
      </c>
    </row>
    <row r="10">
      <c r="A10" s="2" t="inlineStr">
        <is>
          <t>420.030</t>
        </is>
      </c>
      <c r="B10" s="2" t="inlineStr">
        <is>
          <t>Licenze d'uso a studi professionali</t>
        </is>
      </c>
      <c r="C10" s="5" t="n">
        <v>8981.219999999999</v>
      </c>
      <c r="D10" s="5" t="n">
        <v>9236.309999999999</v>
      </c>
      <c r="E10" s="5" t="n">
        <v>9151.48</v>
      </c>
      <c r="F10" s="5" t="n">
        <v>10280.43</v>
      </c>
      <c r="G10" s="5" t="n">
        <v>10355.35</v>
      </c>
      <c r="H10" s="5" t="n">
        <v>9601.709999999999</v>
      </c>
      <c r="I10" s="5" t="n">
        <v>10122.58</v>
      </c>
      <c r="J10" s="5" t="n">
        <v>10677.52</v>
      </c>
      <c r="K10" s="5" t="n">
        <v>10920.21</v>
      </c>
      <c r="L10" s="5" t="n">
        <v>10469.94</v>
      </c>
      <c r="M10" s="5" t="n">
        <v>10742.48</v>
      </c>
      <c r="N10" s="5" t="n">
        <v>10959.09</v>
      </c>
      <c r="O10" s="5">
        <f>SUM(C8:N8)</f>
        <v/>
      </c>
      <c r="P10" s="5" t="n">
        <v>8649.610000000001</v>
      </c>
      <c r="Q10" s="5" t="n">
        <v>9500.469999999999</v>
      </c>
      <c r="R10" s="5" t="n">
        <v>9499.5</v>
      </c>
      <c r="S10" s="5" t="n">
        <v>10268.19</v>
      </c>
      <c r="T10" s="5" t="n">
        <v>10400.1</v>
      </c>
      <c r="U10" s="5" t="n">
        <v>9655.879999999999</v>
      </c>
      <c r="V10" s="5" t="n">
        <v>10693.17</v>
      </c>
      <c r="W10" s="5" t="n">
        <v>10988.59</v>
      </c>
      <c r="X10" s="5">
        <f>SUM(P8:W8)</f>
        <v/>
      </c>
      <c r="Y10" s="5">
        <f>SUM(C8:J8)</f>
        <v/>
      </c>
      <c r="Z10" s="5">
        <f>X8-Y8</f>
        <v/>
      </c>
    </row>
    <row r="11">
      <c r="A11" s="2" t="inlineStr">
        <is>
          <t>420.040</t>
        </is>
      </c>
      <c r="B11" s="2" t="inlineStr">
        <is>
          <t>Canoni di hosting e manutenzione applicativa ricorrente</t>
        </is>
      </c>
      <c r="C11" s="5" t="n">
        <v>8146.65</v>
      </c>
      <c r="D11" s="5" t="n">
        <v>8435.42</v>
      </c>
      <c r="E11" s="5" t="n">
        <v>8175.82</v>
      </c>
      <c r="F11" s="5" t="n">
        <v>7898.3</v>
      </c>
      <c r="G11" s="5" t="n">
        <v>8619.23</v>
      </c>
      <c r="H11" s="5" t="n">
        <v>8624.77</v>
      </c>
      <c r="I11" s="5" t="n">
        <v>8281.309999999999</v>
      </c>
      <c r="J11" s="5" t="n">
        <v>8390.76</v>
      </c>
      <c r="K11" s="5" t="n">
        <v>7783.68</v>
      </c>
      <c r="L11" s="5" t="n">
        <v>8797.389999999999</v>
      </c>
      <c r="M11" s="5" t="n">
        <v>8159.54</v>
      </c>
      <c r="N11" s="5" t="n">
        <v>9155.93</v>
      </c>
      <c r="O11" s="5">
        <f>SUM(C9:N9)</f>
        <v/>
      </c>
      <c r="P11" s="5" t="n">
        <v>8542.719999999999</v>
      </c>
      <c r="Q11" s="5" t="n">
        <v>8274.389999999999</v>
      </c>
      <c r="R11" s="5" t="n">
        <v>7916.89</v>
      </c>
      <c r="S11" s="5" t="n">
        <v>8430.08</v>
      </c>
      <c r="T11" s="5" t="n">
        <v>8921.059999999999</v>
      </c>
      <c r="U11" s="5" t="n">
        <v>9086.530000000001</v>
      </c>
      <c r="V11" s="5" t="n">
        <v>7926.32</v>
      </c>
      <c r="W11" s="5" t="n">
        <v>8685.440000000001</v>
      </c>
      <c r="X11" s="5">
        <f>SUM(P9:W9)</f>
        <v/>
      </c>
      <c r="Y11" s="5">
        <f>SUM(C9:J9)</f>
        <v/>
      </c>
      <c r="Z11" s="5">
        <f>X9-Y9</f>
        <v/>
      </c>
    </row>
    <row r="12">
      <c r="A12" s="2" t="inlineStr">
        <is>
          <t>430.010</t>
        </is>
      </c>
      <c r="B12" s="2" t="inlineStr">
        <is>
          <t>Consulenza di analisi dei requisiti e project management</t>
        </is>
      </c>
      <c r="C12" s="5" t="n">
        <v>7416</v>
      </c>
      <c r="D12" s="5" t="n">
        <v>8561.99</v>
      </c>
      <c r="E12" s="5" t="n">
        <v>9317.610000000001</v>
      </c>
      <c r="F12" s="5" t="n">
        <v>8833.370000000001</v>
      </c>
      <c r="G12" s="5" t="n">
        <v>8890.43</v>
      </c>
      <c r="H12" s="5" t="n">
        <v>9777.76</v>
      </c>
      <c r="I12" s="5" t="n">
        <v>8958.48</v>
      </c>
      <c r="J12" s="5" t="n">
        <v>5591.88</v>
      </c>
      <c r="K12" s="5" t="n">
        <v>8112.23</v>
      </c>
      <c r="L12" s="5" t="n">
        <v>9361.299999999999</v>
      </c>
      <c r="M12" s="5" t="n">
        <v>9397.459999999999</v>
      </c>
      <c r="N12" s="5" t="n">
        <v>12622.63</v>
      </c>
      <c r="O12" s="5">
        <f>SUM(C10:N10)</f>
        <v/>
      </c>
      <c r="P12" s="5" t="n">
        <v>7312.44</v>
      </c>
      <c r="Q12" s="5" t="n">
        <v>8200.27</v>
      </c>
      <c r="R12" s="5" t="n">
        <v>9946.67</v>
      </c>
      <c r="S12" s="5" t="n">
        <v>8384.33</v>
      </c>
      <c r="T12" s="5" t="n">
        <v>8562.5</v>
      </c>
      <c r="U12" s="5" t="n">
        <v>9541.59</v>
      </c>
      <c r="V12" s="5" t="n">
        <v>9328.459999999999</v>
      </c>
      <c r="W12" s="5" t="n">
        <v>5345.03</v>
      </c>
      <c r="X12" s="5">
        <f>SUM(P10:W10)</f>
        <v/>
      </c>
      <c r="Y12" s="5">
        <f>SUM(C10:J10)</f>
        <v/>
      </c>
      <c r="Z12" s="5">
        <f>X10-Y10</f>
        <v/>
      </c>
    </row>
    <row r="13">
      <c r="A13" s="2" t="inlineStr">
        <is>
          <t>430.020</t>
        </is>
      </c>
      <c r="B13" s="2" t="inlineStr">
        <is>
          <t>Analisi dei dati e business intelligence</t>
        </is>
      </c>
      <c r="C13" s="5" t="n">
        <v>9608.99</v>
      </c>
      <c r="D13" s="5" t="n">
        <v>9839.07</v>
      </c>
      <c r="E13" s="5" t="n">
        <v>10918.04</v>
      </c>
      <c r="F13" s="5" t="n">
        <v>11368.52</v>
      </c>
      <c r="G13" s="5" t="n">
        <v>12231.77</v>
      </c>
      <c r="H13" s="5" t="n">
        <v>12503.1</v>
      </c>
      <c r="I13" s="5" t="n">
        <v>11019.99</v>
      </c>
      <c r="J13" s="5" t="n">
        <v>6797.86</v>
      </c>
      <c r="K13" s="5" t="n">
        <v>10675.48</v>
      </c>
      <c r="L13" s="5" t="n">
        <v>11918.02</v>
      </c>
      <c r="M13" s="5" t="n">
        <v>12395.79</v>
      </c>
      <c r="N13" s="5" t="n">
        <v>13884.7</v>
      </c>
      <c r="O13" s="5">
        <f>SUM(C11:N11)</f>
        <v/>
      </c>
      <c r="P13" s="5" t="n">
        <v>9979.98</v>
      </c>
      <c r="Q13" s="5" t="n">
        <v>9894.58</v>
      </c>
      <c r="R13" s="5" t="n">
        <v>10712.07</v>
      </c>
      <c r="S13" s="5" t="n">
        <v>11045.77</v>
      </c>
      <c r="T13" s="5" t="n">
        <v>12761.74</v>
      </c>
      <c r="U13" s="5" t="n">
        <v>13299.96</v>
      </c>
      <c r="V13" s="5" t="n">
        <v>10672.91</v>
      </c>
      <c r="W13" s="5" t="n">
        <v>7004.41</v>
      </c>
      <c r="X13" s="5">
        <f>SUM(P11:W11)</f>
        <v/>
      </c>
      <c r="Y13" s="5">
        <f>SUM(C11:J11)</f>
        <v/>
      </c>
      <c r="Z13" s="5">
        <f>X11-Y11</f>
        <v/>
      </c>
    </row>
    <row r="14">
      <c r="A14" s="2" t="inlineStr">
        <is>
          <t>430.030</t>
        </is>
      </c>
      <c r="B14" s="2" t="inlineStr">
        <is>
          <t>Consulenza sulla sicurezza informatica e sulla protezione dei dati</t>
        </is>
      </c>
      <c r="C14" s="5" t="n">
        <v>6397.29</v>
      </c>
      <c r="D14" s="5" t="n">
        <v>7429.21</v>
      </c>
      <c r="E14" s="5" t="n">
        <v>8142.36</v>
      </c>
      <c r="F14" s="5" t="n">
        <v>7930.22</v>
      </c>
      <c r="G14" s="5" t="n">
        <v>7989.36</v>
      </c>
      <c r="H14" s="5" t="n">
        <v>8683</v>
      </c>
      <c r="I14" s="5" t="n">
        <v>7573.85</v>
      </c>
      <c r="J14" s="5" t="n">
        <v>4894.16</v>
      </c>
      <c r="K14" s="5" t="n">
        <v>8048.05</v>
      </c>
      <c r="L14" s="5" t="n">
        <v>8497.860000000001</v>
      </c>
      <c r="M14" s="5" t="n">
        <v>7932.9</v>
      </c>
      <c r="N14" s="5" t="n">
        <v>9956.440000000001</v>
      </c>
      <c r="O14" s="5">
        <f>SUM(C12:N12)</f>
        <v/>
      </c>
      <c r="P14" s="5" t="n">
        <v>6744.41</v>
      </c>
      <c r="Q14" s="5" t="n">
        <v>7855.59</v>
      </c>
      <c r="R14" s="5" t="n">
        <v>8022.21</v>
      </c>
      <c r="S14" s="5" t="n">
        <v>8060.37</v>
      </c>
      <c r="T14" s="5" t="n">
        <v>7762.31</v>
      </c>
      <c r="U14" s="5" t="n">
        <v>8474.809999999999</v>
      </c>
      <c r="V14" s="5" t="n">
        <v>7322.32</v>
      </c>
      <c r="W14" s="5" t="n">
        <v>5027.13</v>
      </c>
      <c r="X14" s="5">
        <f>SUM(P12:W12)</f>
        <v/>
      </c>
      <c r="Y14" s="5">
        <f>SUM(C12:J12)</f>
        <v/>
      </c>
      <c r="Z14" s="5">
        <f>X12-Y12</f>
        <v/>
      </c>
    </row>
    <row r="15">
      <c r="A15" s="2" t="inlineStr">
        <is>
          <t>440.010</t>
        </is>
      </c>
      <c r="B15" s="2" t="inlineStr">
        <is>
          <t>Corsi di formazione per i clienti</t>
        </is>
      </c>
      <c r="C15" s="5" t="n">
        <v>3924.76</v>
      </c>
      <c r="D15" s="5" t="n">
        <v>4013.54</v>
      </c>
      <c r="E15" s="5" t="n">
        <v>4841.67</v>
      </c>
      <c r="F15" s="5" t="n">
        <v>4710.2</v>
      </c>
      <c r="G15" s="5" t="n">
        <v>4855.48</v>
      </c>
      <c r="H15" s="5" t="n">
        <v>5065.59</v>
      </c>
      <c r="I15" s="5" t="n">
        <v>4824.67</v>
      </c>
      <c r="J15" s="5" t="n">
        <v>3080.52</v>
      </c>
      <c r="K15" s="5" t="n">
        <v>4883.41</v>
      </c>
      <c r="L15" s="5" t="n">
        <v>4995.52</v>
      </c>
      <c r="M15" s="5" t="n">
        <v>5009.11</v>
      </c>
      <c r="N15" s="5" t="n">
        <v>6492.4</v>
      </c>
      <c r="O15" s="5">
        <f>SUM(C13:N13)</f>
        <v/>
      </c>
      <c r="P15" s="5" t="n">
        <v>3832.25</v>
      </c>
      <c r="Q15" s="5" t="n">
        <v>3800.83</v>
      </c>
      <c r="R15" s="5" t="n">
        <v>5114.52</v>
      </c>
      <c r="S15" s="5" t="n">
        <v>4506.84</v>
      </c>
      <c r="T15" s="5" t="n">
        <v>5006.8</v>
      </c>
      <c r="U15" s="5" t="n">
        <v>5306.91</v>
      </c>
      <c r="V15" s="5" t="n">
        <v>4547.38</v>
      </c>
      <c r="W15" s="5" t="n">
        <v>2924.74</v>
      </c>
      <c r="X15" s="5">
        <f>SUM(P13:W13)</f>
        <v/>
      </c>
      <c r="Y15" s="5">
        <f>SUM(C13:J13)</f>
        <v/>
      </c>
      <c r="Z15" s="5">
        <f>X13-Y13</f>
        <v/>
      </c>
    </row>
    <row r="16">
      <c r="A16" s="2" t="inlineStr">
        <is>
          <t>440.020</t>
        </is>
      </c>
      <c r="B16" s="2" t="inlineStr">
        <is>
          <t>Assistenza tecnica e help desk</t>
        </is>
      </c>
      <c r="C16" s="5" t="n">
        <v>5120.47</v>
      </c>
      <c r="D16" s="5" t="n">
        <v>5014.56</v>
      </c>
      <c r="E16" s="5" t="n">
        <v>5737.01</v>
      </c>
      <c r="F16" s="5" t="n">
        <v>6049.71</v>
      </c>
      <c r="G16" s="5" t="n">
        <v>6475.79</v>
      </c>
      <c r="H16" s="5" t="n">
        <v>6909.31</v>
      </c>
      <c r="I16" s="5" t="n">
        <v>5849.34</v>
      </c>
      <c r="J16" s="5" t="n">
        <v>3418.1</v>
      </c>
      <c r="K16" s="5" t="n">
        <v>5749.95</v>
      </c>
      <c r="L16" s="5" t="n">
        <v>6676.24</v>
      </c>
      <c r="M16" s="5" t="n">
        <v>6873.53</v>
      </c>
      <c r="N16" s="5" t="n">
        <v>7822.85</v>
      </c>
      <c r="O16" s="5">
        <f>SUM(C14:N14)</f>
        <v/>
      </c>
      <c r="P16" s="5" t="n">
        <v>4975.44</v>
      </c>
      <c r="Q16" s="5" t="n">
        <v>5095.49</v>
      </c>
      <c r="R16" s="5" t="n">
        <v>5957.62</v>
      </c>
      <c r="S16" s="5" t="n">
        <v>5720.36</v>
      </c>
      <c r="T16" s="5" t="n">
        <v>6777.23</v>
      </c>
      <c r="U16" s="5" t="n">
        <v>7066.48</v>
      </c>
      <c r="V16" s="5" t="n">
        <v>6106.95</v>
      </c>
      <c r="W16" s="5" t="n">
        <v>3547.65</v>
      </c>
      <c r="X16" s="5">
        <f>SUM(P14:W14)</f>
        <v/>
      </c>
      <c r="Y16" s="5">
        <f>SUM(C14:J14)</f>
        <v/>
      </c>
      <c r="Z16" s="5">
        <f>X14-Y14</f>
        <v/>
      </c>
    </row>
    <row r="17">
      <c r="A17" s="2" t="inlineStr">
        <is>
          <t>440.030</t>
        </is>
      </c>
      <c r="B17" s="2" t="inlineStr">
        <is>
          <t>Interventi tecnici presso la sede del cliente</t>
        </is>
      </c>
      <c r="C17" s="5" t="n">
        <v>2429.59</v>
      </c>
      <c r="D17" s="5" t="n">
        <v>2797.76</v>
      </c>
      <c r="E17" s="5" t="n">
        <v>3364.8</v>
      </c>
      <c r="F17" s="5" t="n">
        <v>3166.42</v>
      </c>
      <c r="G17" s="5" t="n">
        <v>3472.43</v>
      </c>
      <c r="H17" s="5" t="n">
        <v>3562.38</v>
      </c>
      <c r="I17" s="5" t="n">
        <v>3171.09</v>
      </c>
      <c r="J17" s="5" t="n">
        <v>2063.18</v>
      </c>
      <c r="K17" s="5" t="n">
        <v>3218.67</v>
      </c>
      <c r="L17" s="5" t="n">
        <v>3284.25</v>
      </c>
      <c r="M17" s="5" t="n">
        <v>3537.18</v>
      </c>
      <c r="N17" s="5" t="n">
        <v>4103.1</v>
      </c>
      <c r="O17" s="5">
        <f>SUM(C15:N15)</f>
        <v/>
      </c>
      <c r="P17" s="5" t="n">
        <v>2502.99</v>
      </c>
      <c r="Q17" s="5" t="n">
        <v>2757.64</v>
      </c>
      <c r="R17" s="5" t="n">
        <v>3594.19</v>
      </c>
      <c r="S17" s="5" t="n">
        <v>3022.76</v>
      </c>
      <c r="T17" s="5" t="n">
        <v>3670.24</v>
      </c>
      <c r="U17" s="5" t="n">
        <v>3802.44</v>
      </c>
      <c r="V17" s="5" t="n">
        <v>3180.75</v>
      </c>
      <c r="W17" s="5" t="n">
        <v>2001.34</v>
      </c>
      <c r="X17" s="5">
        <f>SUM(P15:W15)</f>
        <v/>
      </c>
      <c r="Y17" s="5">
        <f>SUM(C15:J15)</f>
        <v/>
      </c>
      <c r="Z17" s="5">
        <f>X15-Y15</f>
        <v/>
      </c>
    </row>
    <row r="18">
      <c r="A18" s="2" t="inlineStr">
        <is>
          <t>450.010</t>
        </is>
      </c>
      <c r="B18" s="2" t="inlineStr">
        <is>
          <t>Variazione dei lavori in corso su ordinazione</t>
        </is>
      </c>
      <c r="C18" s="5" t="n">
        <v>1087.85</v>
      </c>
      <c r="D18" s="5" t="n">
        <v>1129.91</v>
      </c>
      <c r="E18" s="5" t="n">
        <v>1249.04</v>
      </c>
      <c r="F18" s="5" t="n">
        <v>1255.91</v>
      </c>
      <c r="G18" s="5" t="n">
        <v>1344.68</v>
      </c>
      <c r="H18" s="5" t="n">
        <v>1345.92</v>
      </c>
      <c r="I18" s="5" t="n">
        <v>1234.26</v>
      </c>
      <c r="J18" s="5" t="n">
        <v>813.2</v>
      </c>
      <c r="K18" s="5" t="n">
        <v>1025.71</v>
      </c>
      <c r="L18" s="5" t="n">
        <v>1339.97</v>
      </c>
      <c r="M18" s="5" t="n">
        <v>1483.69</v>
      </c>
      <c r="N18" s="5" t="n">
        <v>1936.89</v>
      </c>
      <c r="O18" s="5">
        <f>SUM(C16:N16)</f>
        <v/>
      </c>
      <c r="P18" s="5" t="n">
        <v>1070.3</v>
      </c>
      <c r="Q18" s="5" t="n">
        <v>1083.7</v>
      </c>
      <c r="R18" s="5" t="n">
        <v>1297.95</v>
      </c>
      <c r="S18" s="5" t="n">
        <v>1271.71</v>
      </c>
      <c r="T18" s="5" t="n">
        <v>1327.32</v>
      </c>
      <c r="U18" s="5" t="n">
        <v>1333.45</v>
      </c>
      <c r="V18" s="5" t="n">
        <v>1162.84</v>
      </c>
      <c r="W18" s="5" t="n">
        <v>791.91</v>
      </c>
      <c r="X18" s="5">
        <f>SUM(P16:W16)</f>
        <v/>
      </c>
      <c r="Y18" s="5">
        <f>SUM(C16:J16)</f>
        <v/>
      </c>
      <c r="Z18" s="5">
        <f>X16-Y16</f>
        <v/>
      </c>
    </row>
    <row r="19">
      <c r="A19" s="2" t="inlineStr">
        <is>
          <t>460.010</t>
        </is>
      </c>
      <c r="B19" s="2" t="inlineStr">
        <is>
          <t>Incrementi di immobilizzazioni per lavori interni: costi di sviluppo della piattaforma</t>
        </is>
      </c>
      <c r="C19" s="5" t="n">
        <v>2153.3</v>
      </c>
      <c r="D19" s="5" t="n">
        <v>2162.65</v>
      </c>
      <c r="E19" s="5" t="n">
        <v>2307.18</v>
      </c>
      <c r="F19" s="5" t="n">
        <v>2128.58</v>
      </c>
      <c r="G19" s="5" t="n">
        <v>2913.44</v>
      </c>
      <c r="H19" s="5" t="n">
        <v>3047.26</v>
      </c>
      <c r="I19" s="5" t="n">
        <v>2512.96</v>
      </c>
      <c r="J19" s="5" t="n">
        <v>1614.05</v>
      </c>
      <c r="K19" s="5" t="n">
        <v>2581.16</v>
      </c>
      <c r="L19" s="5" t="n">
        <v>2978.13</v>
      </c>
      <c r="M19" s="5" t="n">
        <v>2672.69</v>
      </c>
      <c r="N19" s="5" t="n">
        <v>3521.03</v>
      </c>
      <c r="O19" s="5">
        <f>SUM(C17:N17)</f>
        <v/>
      </c>
      <c r="P19" s="5" t="n">
        <v>2138.35</v>
      </c>
      <c r="Q19" s="5" t="n">
        <v>2227.27</v>
      </c>
      <c r="R19" s="5" t="n">
        <v>2293.2</v>
      </c>
      <c r="S19" s="5" t="n">
        <v>2171.42</v>
      </c>
      <c r="T19" s="5" t="n">
        <v>2952.82</v>
      </c>
      <c r="U19" s="5" t="n">
        <v>2992.39</v>
      </c>
      <c r="V19" s="5" t="n">
        <v>2684.43</v>
      </c>
      <c r="W19" s="5" t="n">
        <v>1600.18</v>
      </c>
      <c r="X19" s="5">
        <f>SUM(P17:W17)</f>
        <v/>
      </c>
      <c r="Y19" s="5">
        <f>SUM(C17:J17)</f>
        <v/>
      </c>
      <c r="Z19" s="5">
        <f>X17-Y17</f>
        <v/>
      </c>
    </row>
    <row r="20">
      <c r="A20" s="2" t="inlineStr">
        <is>
          <t>470.010</t>
        </is>
      </c>
      <c r="B20" s="2" t="inlineStr">
        <is>
          <t>Contributi in conto esercizio: credito d'imposta ricerca e sviluppo</t>
        </is>
      </c>
      <c r="C20" s="5" t="n">
        <v>1544.78</v>
      </c>
      <c r="D20" s="5" t="n">
        <v>1170.1</v>
      </c>
      <c r="E20" s="5" t="n">
        <v>1297</v>
      </c>
      <c r="F20" s="5" t="n">
        <v>1434.94</v>
      </c>
      <c r="G20" s="5" t="n">
        <v>1251.66</v>
      </c>
      <c r="H20" s="5" t="n">
        <v>1280.55</v>
      </c>
      <c r="I20" s="5" t="n">
        <v>1321.34</v>
      </c>
      <c r="J20" s="5" t="n">
        <v>1425.31</v>
      </c>
      <c r="K20" s="5" t="n">
        <v>1508.55</v>
      </c>
      <c r="L20" s="5" t="n">
        <v>1222.88</v>
      </c>
      <c r="M20" s="5" t="n">
        <v>1535.63</v>
      </c>
      <c r="N20" s="5" t="n">
        <v>33579.8</v>
      </c>
      <c r="O20" s="5">
        <f>SUM(C18:N18)</f>
        <v/>
      </c>
      <c r="P20" s="5" t="n">
        <v>1637.63</v>
      </c>
      <c r="Q20" s="5" t="n">
        <v>1207.9</v>
      </c>
      <c r="R20" s="5" t="n">
        <v>1263.01</v>
      </c>
      <c r="S20" s="5" t="n">
        <v>1469.21</v>
      </c>
      <c r="T20" s="5" t="n">
        <v>1324.84</v>
      </c>
      <c r="U20" s="5" t="n">
        <v>1362.07</v>
      </c>
      <c r="V20" s="5" t="n">
        <v>1374.93</v>
      </c>
      <c r="W20" s="5" t="n">
        <v>1358.68</v>
      </c>
      <c r="X20" s="5">
        <f>SUM(P18:W18)</f>
        <v/>
      </c>
      <c r="Y20" s="5">
        <f>SUM(C18:J18)</f>
        <v/>
      </c>
      <c r="Z20" s="5">
        <f>X18-Y18</f>
        <v/>
      </c>
    </row>
    <row r="21">
      <c r="A21" s="2" t="inlineStr">
        <is>
          <t>480.010</t>
        </is>
      </c>
      <c r="B21" s="2" t="inlineStr">
        <is>
          <t>Rimborsi assicurativi</t>
        </is>
      </c>
      <c r="C21" s="5" t="n">
        <v>187.46</v>
      </c>
      <c r="D21" s="5" t="n">
        <v>225.71</v>
      </c>
      <c r="E21" s="5" t="n">
        <v>184.73</v>
      </c>
      <c r="F21" s="5" t="n">
        <v>190.98</v>
      </c>
      <c r="G21" s="5" t="n">
        <v>207.6</v>
      </c>
      <c r="H21" s="5" t="n">
        <v>221.97</v>
      </c>
      <c r="I21" s="5" t="n">
        <v>185.11</v>
      </c>
      <c r="J21" s="5" t="n">
        <v>210.14</v>
      </c>
      <c r="K21" s="5" t="n">
        <v>207.28</v>
      </c>
      <c r="L21" s="5" t="n">
        <v>190.51</v>
      </c>
      <c r="M21" s="5" t="n">
        <v>229.73</v>
      </c>
      <c r="N21" s="5" t="n">
        <v>185.71</v>
      </c>
      <c r="O21" s="5">
        <f>SUM(C19:N19)</f>
        <v/>
      </c>
      <c r="P21" s="5" t="n">
        <v>196.24</v>
      </c>
      <c r="Q21" s="5" t="n">
        <v>217.56</v>
      </c>
      <c r="R21" s="5" t="n">
        <v>182.09</v>
      </c>
      <c r="S21" s="5" t="n">
        <v>182.67</v>
      </c>
      <c r="T21" s="5" t="n">
        <v>196.96</v>
      </c>
      <c r="U21" s="5" t="n">
        <v>212.79</v>
      </c>
      <c r="V21" s="5" t="n">
        <v>184.91</v>
      </c>
      <c r="W21" s="5" t="n">
        <v>199.88</v>
      </c>
      <c r="X21" s="5">
        <f>SUM(P19:W19)</f>
        <v/>
      </c>
      <c r="Y21" s="5">
        <f>SUM(C19:J19)</f>
        <v/>
      </c>
      <c r="Z21" s="5">
        <f>X19-Y19</f>
        <v/>
      </c>
    </row>
    <row r="22">
      <c r="A22" s="2" t="inlineStr">
        <is>
          <t>480.020</t>
        </is>
      </c>
      <c r="B22" s="2" t="inlineStr">
        <is>
          <t>Recuperi di spese da clienti</t>
        </is>
      </c>
      <c r="C22" s="5" t="n">
        <v>165.7</v>
      </c>
      <c r="D22" s="5" t="n">
        <v>141.18</v>
      </c>
      <c r="E22" s="5" t="n">
        <v>175.6</v>
      </c>
      <c r="F22" s="5" t="n">
        <v>146.8</v>
      </c>
      <c r="G22" s="5" t="n">
        <v>182.33</v>
      </c>
      <c r="H22" s="5" t="n">
        <v>135.55</v>
      </c>
      <c r="I22" s="5" t="n">
        <v>178.42</v>
      </c>
      <c r="J22" s="5" t="n">
        <v>157.78</v>
      </c>
      <c r="K22" s="5" t="n">
        <v>178.84</v>
      </c>
      <c r="L22" s="5" t="n">
        <v>144.61</v>
      </c>
      <c r="M22" s="5" t="n">
        <v>148.19</v>
      </c>
      <c r="N22" s="5" t="n">
        <v>160.35</v>
      </c>
      <c r="O22" s="5">
        <f>SUM(C20:N20)</f>
        <v/>
      </c>
      <c r="P22" s="5" t="n">
        <v>177.11</v>
      </c>
      <c r="Q22" s="5" t="n">
        <v>134.9</v>
      </c>
      <c r="R22" s="5" t="n">
        <v>168</v>
      </c>
      <c r="S22" s="5" t="n">
        <v>143.56</v>
      </c>
      <c r="T22" s="5" t="n">
        <v>175.35</v>
      </c>
      <c r="U22" s="5" t="n">
        <v>139.36</v>
      </c>
      <c r="V22" s="5" t="n">
        <v>175.92</v>
      </c>
      <c r="W22" s="5" t="n">
        <v>153.09</v>
      </c>
      <c r="X22" s="5">
        <f>SUM(P20:W20)</f>
        <v/>
      </c>
      <c r="Y22" s="5">
        <f>SUM(C20:J20)</f>
        <v/>
      </c>
      <c r="Z22" s="5">
        <f>X20-Y20</f>
        <v/>
      </c>
    </row>
    <row r="23">
      <c r="A23" s="2" t="inlineStr">
        <is>
          <t>480.030</t>
        </is>
      </c>
      <c r="B23" s="2" t="inlineStr">
        <is>
          <t>Sopravvenienze attive ordinarie</t>
        </is>
      </c>
      <c r="C23" s="5" t="n">
        <v>112.89</v>
      </c>
      <c r="D23" s="5" t="n">
        <v>129.84</v>
      </c>
      <c r="E23" s="5" t="n">
        <v>117.11</v>
      </c>
      <c r="F23" s="5" t="n">
        <v>102.36</v>
      </c>
      <c r="G23" s="5" t="n">
        <v>103.87</v>
      </c>
      <c r="H23" s="5" t="n">
        <v>121.27</v>
      </c>
      <c r="I23" s="5" t="n">
        <v>110.33</v>
      </c>
      <c r="J23" s="5" t="n">
        <v>112.07</v>
      </c>
      <c r="K23" s="5" t="n">
        <v>131.3</v>
      </c>
      <c r="L23" s="5" t="n">
        <v>129.65</v>
      </c>
      <c r="M23" s="5" t="n">
        <v>96.58</v>
      </c>
      <c r="N23" s="5" t="n">
        <v>106.88</v>
      </c>
      <c r="O23" s="5">
        <f>SUM(C21:N21)</f>
        <v/>
      </c>
      <c r="P23" s="5" t="n">
        <v>115.69</v>
      </c>
      <c r="Q23" s="5" t="n">
        <v>137.65</v>
      </c>
      <c r="R23" s="5" t="n">
        <v>115.47</v>
      </c>
      <c r="S23" s="5" t="n">
        <v>98.69</v>
      </c>
      <c r="T23" s="5" t="n">
        <v>105.87</v>
      </c>
      <c r="U23" s="5" t="n">
        <v>118.45</v>
      </c>
      <c r="V23" s="5" t="n">
        <v>108.41</v>
      </c>
      <c r="W23" s="5" t="n">
        <v>118.47</v>
      </c>
      <c r="X23" s="5">
        <f>SUM(P21:W21)</f>
        <v/>
      </c>
      <c r="Y23" s="5">
        <f>SUM(C21:J21)</f>
        <v/>
      </c>
      <c r="Z23" s="5">
        <f>X21-Y21</f>
        <v/>
      </c>
    </row>
    <row r="24">
      <c r="A24" s="2" t="inlineStr">
        <is>
          <t>480.040</t>
        </is>
      </c>
      <c r="B24" s="2" t="inlineStr">
        <is>
          <t>Plusvalenze e altri proventi di gestione</t>
        </is>
      </c>
      <c r="C24" s="5" t="n">
        <v>81.98</v>
      </c>
      <c r="D24" s="5" t="n">
        <v>87.29000000000001</v>
      </c>
      <c r="E24" s="5" t="n">
        <v>77.18000000000001</v>
      </c>
      <c r="F24" s="5" t="n">
        <v>82.31999999999999</v>
      </c>
      <c r="G24" s="5" t="n">
        <v>83.68000000000001</v>
      </c>
      <c r="H24" s="5" t="n">
        <v>93.26000000000001</v>
      </c>
      <c r="I24" s="5" t="n">
        <v>104.06</v>
      </c>
      <c r="J24" s="5" t="n">
        <v>91.06999999999999</v>
      </c>
      <c r="K24" s="5" t="n">
        <v>96.42</v>
      </c>
      <c r="L24" s="5" t="n">
        <v>82.81</v>
      </c>
      <c r="M24" s="5" t="n">
        <v>80.05</v>
      </c>
      <c r="N24" s="5" t="n">
        <v>99.12</v>
      </c>
      <c r="O24" s="5">
        <f>SUM(C22:N22)</f>
        <v/>
      </c>
      <c r="P24" s="5" t="n">
        <v>80.72</v>
      </c>
      <c r="Q24" s="5" t="n">
        <v>84.56</v>
      </c>
      <c r="R24" s="5" t="n">
        <v>81.77</v>
      </c>
      <c r="S24" s="5" t="n">
        <v>80.12</v>
      </c>
      <c r="T24" s="5" t="n">
        <v>87.95</v>
      </c>
      <c r="U24" s="5" t="n">
        <v>95.08</v>
      </c>
      <c r="V24" s="5" t="n">
        <v>98.39</v>
      </c>
      <c r="W24" s="5" t="n">
        <v>94.67</v>
      </c>
      <c r="X24" s="5">
        <f>SUM(P22:W22)</f>
        <v/>
      </c>
      <c r="Y24" s="5">
        <f>SUM(C22:J22)</f>
        <v/>
      </c>
      <c r="Z24" s="5">
        <f>X22-Y22</f>
        <v/>
      </c>
    </row>
    <row r="25">
      <c r="A25" s="2" t="inlineStr">
        <is>
          <t>510.010</t>
        </is>
      </c>
      <c r="B25" s="2" t="inlineStr">
        <is>
          <t>Interessi attivi su conti correnti bancari</t>
        </is>
      </c>
      <c r="C25" s="5" t="n">
        <v>156.43</v>
      </c>
      <c r="D25" s="5" t="n">
        <v>134.48</v>
      </c>
      <c r="E25" s="5" t="n">
        <v>139.34</v>
      </c>
      <c r="F25" s="5" t="n">
        <v>125.55</v>
      </c>
      <c r="G25" s="5" t="n">
        <v>157.12</v>
      </c>
      <c r="H25" s="5" t="n">
        <v>137.44</v>
      </c>
      <c r="I25" s="5" t="n">
        <v>131.69</v>
      </c>
      <c r="J25" s="5" t="n">
        <v>131.52</v>
      </c>
      <c r="K25" s="5" t="n">
        <v>145.92</v>
      </c>
      <c r="L25" s="5" t="n">
        <v>139.46</v>
      </c>
      <c r="M25" s="5" t="n">
        <v>149.54</v>
      </c>
      <c r="N25" s="5" t="n">
        <v>154.74</v>
      </c>
      <c r="O25" s="5">
        <f>SUM(C23:N23)</f>
        <v/>
      </c>
      <c r="P25" s="5" t="n">
        <v>161.77</v>
      </c>
      <c r="Q25" s="5" t="n">
        <v>137.48</v>
      </c>
      <c r="R25" s="5" t="n">
        <v>143.09</v>
      </c>
      <c r="S25" s="5" t="n">
        <v>123.65</v>
      </c>
      <c r="T25" s="5" t="n">
        <v>157.49</v>
      </c>
      <c r="U25" s="5" t="n">
        <v>145.84</v>
      </c>
      <c r="V25" s="5" t="n">
        <v>133.03</v>
      </c>
      <c r="W25" s="5" t="n">
        <v>137.2</v>
      </c>
      <c r="X25" s="5">
        <f>SUM(P23:W23)</f>
        <v/>
      </c>
      <c r="Y25" s="5">
        <f>SUM(C23:J23)</f>
        <v/>
      </c>
      <c r="Z25" s="5">
        <f>X23-Y23</f>
        <v/>
      </c>
    </row>
    <row r="26">
      <c r="A26" s="2" t="inlineStr">
        <is>
          <t>520.010</t>
        </is>
      </c>
      <c r="B26" s="2" t="inlineStr">
        <is>
          <t>Interessi passivi sul finanziamento chirografario</t>
        </is>
      </c>
      <c r="C26" s="5" t="n">
        <v>0</v>
      </c>
      <c r="D26" s="5" t="n">
        <v>0</v>
      </c>
      <c r="E26" s="5" t="n">
        <v>1921.03</v>
      </c>
      <c r="F26" s="5" t="n">
        <v>0</v>
      </c>
      <c r="G26" s="5" t="n">
        <v>0</v>
      </c>
      <c r="H26" s="5" t="n">
        <v>1731.04</v>
      </c>
      <c r="I26" s="5" t="n">
        <v>0</v>
      </c>
      <c r="J26" s="5" t="n">
        <v>0</v>
      </c>
      <c r="K26" s="5" t="n">
        <v>2180.33</v>
      </c>
      <c r="L26" s="5" t="n">
        <v>0</v>
      </c>
      <c r="M26" s="5" t="n">
        <v>0</v>
      </c>
      <c r="N26" s="5" t="n">
        <v>2096.56</v>
      </c>
      <c r="O26" s="5">
        <f>SUM(C24:N24)</f>
        <v/>
      </c>
      <c r="P26" s="5" t="n">
        <v>0</v>
      </c>
      <c r="Q26" s="5" t="n">
        <v>0</v>
      </c>
      <c r="R26" s="5" t="n">
        <v>1981.22</v>
      </c>
      <c r="S26" s="5" t="n">
        <v>0</v>
      </c>
      <c r="T26" s="5" t="n">
        <v>0</v>
      </c>
      <c r="U26" s="5" t="n">
        <v>1816.03</v>
      </c>
      <c r="V26" s="5" t="n">
        <v>0</v>
      </c>
      <c r="W26" s="5" t="n">
        <v>0</v>
      </c>
      <c r="X26" s="5">
        <f>SUM(P24:W24)</f>
        <v/>
      </c>
      <c r="Y26" s="5">
        <f>SUM(C24:J24)</f>
        <v/>
      </c>
      <c r="Z26" s="5">
        <f>X24-Y24</f>
        <v/>
      </c>
    </row>
    <row r="27">
      <c r="A27" s="2" t="inlineStr">
        <is>
          <t>520.020</t>
        </is>
      </c>
      <c r="B27" s="2" t="inlineStr">
        <is>
          <t>Commissioni e interessi passivi su affidamenti bancari</t>
        </is>
      </c>
      <c r="C27" s="5" t="n">
        <v>64.39</v>
      </c>
      <c r="D27" s="5" t="n">
        <v>61.76</v>
      </c>
      <c r="E27" s="5" t="n">
        <v>52.34</v>
      </c>
      <c r="F27" s="5" t="n">
        <v>53.87</v>
      </c>
      <c r="G27" s="5" t="n">
        <v>68.90000000000001</v>
      </c>
      <c r="H27" s="5" t="n">
        <v>69.20999999999999</v>
      </c>
      <c r="I27" s="5" t="n">
        <v>62.22</v>
      </c>
      <c r="J27" s="5" t="n">
        <v>58.38</v>
      </c>
      <c r="K27" s="5" t="n">
        <v>63.72</v>
      </c>
      <c r="L27" s="5" t="n">
        <v>70.19</v>
      </c>
      <c r="M27" s="5" t="n">
        <v>70.20999999999999</v>
      </c>
      <c r="N27" s="5" t="n">
        <v>54.99</v>
      </c>
      <c r="O27" s="5">
        <f>SUM(C25:N25)</f>
        <v/>
      </c>
      <c r="P27" s="5" t="n">
        <v>62.71</v>
      </c>
      <c r="Q27" s="5" t="n">
        <v>59.33</v>
      </c>
      <c r="R27" s="5" t="n">
        <v>54.06</v>
      </c>
      <c r="S27" s="5" t="n">
        <v>52.6</v>
      </c>
      <c r="T27" s="5" t="n">
        <v>69.27</v>
      </c>
      <c r="U27" s="5" t="n">
        <v>65.84999999999999</v>
      </c>
      <c r="V27" s="5" t="n">
        <v>63.22</v>
      </c>
      <c r="W27" s="5" t="n">
        <v>60.79</v>
      </c>
      <c r="X27" s="5">
        <f>SUM(P25:W25)</f>
        <v/>
      </c>
      <c r="Y27" s="5">
        <f>SUM(C25:J25)</f>
        <v/>
      </c>
      <c r="Z27" s="5">
        <f>X25-Y25</f>
        <v/>
      </c>
    </row>
    <row r="28">
      <c r="A28" s="2" t="inlineStr">
        <is>
          <t>520.030</t>
        </is>
      </c>
      <c r="B28" s="2" t="inlineStr">
        <is>
          <t>Interessi di mora a fornitori</t>
        </is>
      </c>
      <c r="C28" s="5" t="n">
        <v>42.22</v>
      </c>
      <c r="D28" s="5" t="n">
        <v>42.5</v>
      </c>
      <c r="E28" s="5" t="n">
        <v>48.05</v>
      </c>
      <c r="F28" s="5" t="n">
        <v>40.27</v>
      </c>
      <c r="G28" s="5" t="n">
        <v>48.39</v>
      </c>
      <c r="H28" s="5" t="n">
        <v>49</v>
      </c>
      <c r="I28" s="5" t="n">
        <v>46.3</v>
      </c>
      <c r="J28" s="5" t="n">
        <v>42.75</v>
      </c>
      <c r="K28" s="5" t="n">
        <v>48.14</v>
      </c>
      <c r="L28" s="5" t="n">
        <v>50.66</v>
      </c>
      <c r="M28" s="5" t="n">
        <v>47.12</v>
      </c>
      <c r="N28" s="5" t="n">
        <v>40.53</v>
      </c>
      <c r="O28" s="5">
        <f>SUM(C26:N26)</f>
        <v/>
      </c>
      <c r="P28" s="5" t="n">
        <v>41.62</v>
      </c>
      <c r="Q28" s="5" t="n">
        <v>41.16</v>
      </c>
      <c r="R28" s="5" t="n">
        <v>51</v>
      </c>
      <c r="S28" s="5" t="n">
        <v>40.76</v>
      </c>
      <c r="T28" s="5" t="n">
        <v>49.19</v>
      </c>
      <c r="U28" s="5" t="n">
        <v>47.64</v>
      </c>
      <c r="V28" s="5" t="n">
        <v>48.08</v>
      </c>
      <c r="W28" s="5" t="n">
        <v>45.21</v>
      </c>
      <c r="X28" s="5">
        <f>SUM(P26:W26)</f>
        <v/>
      </c>
      <c r="Y28" s="5">
        <f>SUM(C26:J26)</f>
        <v/>
      </c>
      <c r="Z28" s="5">
        <f>X26-Y26</f>
        <v/>
      </c>
    </row>
    <row r="29">
      <c r="A29" s="2" t="inlineStr">
        <is>
          <t>530.010</t>
        </is>
      </c>
      <c r="B29" s="2" t="inlineStr">
        <is>
          <t>Utili su cambi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>
        <f>SUM(C27:N27)</f>
        <v/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>
        <f>SUM(P27:W27)</f>
        <v/>
      </c>
      <c r="Y29" s="5">
        <f>SUM(C27:J27)</f>
        <v/>
      </c>
      <c r="Z29" s="5">
        <f>X27-Y27</f>
        <v/>
      </c>
    </row>
    <row r="30">
      <c r="A30" s="2" t="inlineStr">
        <is>
          <t>530.020</t>
        </is>
      </c>
      <c r="B30" s="2" t="inlineStr">
        <is>
          <t>Perdite su cambi</t>
        </is>
      </c>
      <c r="C30" s="5" t="n">
        <v>23.84</v>
      </c>
      <c r="D30" s="5" t="n">
        <v>26.04</v>
      </c>
      <c r="E30" s="5" t="n">
        <v>23.9</v>
      </c>
      <c r="F30" s="5" t="n">
        <v>29.56</v>
      </c>
      <c r="G30" s="5" t="n">
        <v>28.94</v>
      </c>
      <c r="H30" s="5" t="n">
        <v>23.63</v>
      </c>
      <c r="I30" s="5" t="n">
        <v>27.83</v>
      </c>
      <c r="J30" s="5" t="n">
        <v>26.94</v>
      </c>
      <c r="K30" s="5" t="n">
        <v>30.47</v>
      </c>
      <c r="L30" s="5" t="n">
        <v>29.26</v>
      </c>
      <c r="M30" s="5" t="n">
        <v>26.48</v>
      </c>
      <c r="N30" s="5" t="n">
        <v>25.74</v>
      </c>
      <c r="O30" s="5">
        <f>SUM(C28:N28)</f>
        <v/>
      </c>
      <c r="P30" s="5" t="n">
        <v>23.58</v>
      </c>
      <c r="Q30" s="5" t="n">
        <v>25.6</v>
      </c>
      <c r="R30" s="5" t="n">
        <v>23.59</v>
      </c>
      <c r="S30" s="5" t="n">
        <v>27.82</v>
      </c>
      <c r="T30" s="5" t="n">
        <v>28.17</v>
      </c>
      <c r="U30" s="5" t="n">
        <v>25.04</v>
      </c>
      <c r="V30" s="5" t="n">
        <v>27.33</v>
      </c>
      <c r="W30" s="5" t="n">
        <v>28.56</v>
      </c>
      <c r="X30" s="5">
        <f>SUM(P28:W28)</f>
        <v/>
      </c>
      <c r="Y30" s="5">
        <f>SUM(C28:J28)</f>
        <v/>
      </c>
      <c r="Z30" s="5">
        <f>X28-Y28</f>
        <v/>
      </c>
    </row>
    <row r="31">
      <c r="A31" s="2" t="inlineStr">
        <is>
          <t>590.010</t>
        </is>
      </c>
      <c r="B31" s="2" t="inlineStr">
        <is>
          <t>IRES corrente dell'esercizio</t>
        </is>
      </c>
      <c r="C31" s="5" t="n">
        <v>1510.16</v>
      </c>
      <c r="D31" s="5" t="n">
        <v>1425.26</v>
      </c>
      <c r="E31" s="5" t="n">
        <v>1359.72</v>
      </c>
      <c r="F31" s="5" t="n">
        <v>1340.43</v>
      </c>
      <c r="G31" s="5" t="n">
        <v>1401.54</v>
      </c>
      <c r="H31" s="5" t="n">
        <v>1445.26</v>
      </c>
      <c r="I31" s="5" t="n">
        <v>1573.54</v>
      </c>
      <c r="J31" s="5" t="n">
        <v>1401.17</v>
      </c>
      <c r="K31" s="5" t="n">
        <v>1332.2</v>
      </c>
      <c r="L31" s="5" t="n">
        <v>1442.49</v>
      </c>
      <c r="M31" s="5" t="n">
        <v>1371.3</v>
      </c>
      <c r="N31" s="5" t="n">
        <v>35201.92</v>
      </c>
      <c r="O31" s="5">
        <f>SUM(C29:N29)</f>
        <v/>
      </c>
      <c r="P31" s="5" t="n">
        <v>1545</v>
      </c>
      <c r="Q31" s="5" t="n">
        <v>1522.58</v>
      </c>
      <c r="R31" s="5" t="n">
        <v>1328.63</v>
      </c>
      <c r="S31" s="5" t="n">
        <v>1336.11</v>
      </c>
      <c r="T31" s="5" t="n">
        <v>1412.18</v>
      </c>
      <c r="U31" s="5" t="n">
        <v>1521.36</v>
      </c>
      <c r="V31" s="5" t="n">
        <v>1649.06</v>
      </c>
      <c r="W31" s="5" t="n">
        <v>1446.86</v>
      </c>
      <c r="X31" s="5">
        <f>SUM(P29:W29)</f>
        <v/>
      </c>
      <c r="Y31" s="5">
        <f>SUM(C29:J29)</f>
        <v/>
      </c>
      <c r="Z31" s="5">
        <f>X29-Y29</f>
        <v/>
      </c>
    </row>
    <row r="32">
      <c r="A32" s="2" t="inlineStr">
        <is>
          <t>590.020</t>
        </is>
      </c>
      <c r="B32" s="2" t="inlineStr">
        <is>
          <t>IRAP corrente dell'esercizio</t>
        </is>
      </c>
      <c r="C32" s="5" t="n">
        <v>254.1</v>
      </c>
      <c r="D32" s="5" t="n">
        <v>285.48</v>
      </c>
      <c r="E32" s="5" t="n">
        <v>293.05</v>
      </c>
      <c r="F32" s="5" t="n">
        <v>323.25</v>
      </c>
      <c r="G32" s="5" t="n">
        <v>260.19</v>
      </c>
      <c r="H32" s="5" t="n">
        <v>301.89</v>
      </c>
      <c r="I32" s="5" t="n">
        <v>285.37</v>
      </c>
      <c r="J32" s="5" t="n">
        <v>258.32</v>
      </c>
      <c r="K32" s="5" t="n">
        <v>339.28</v>
      </c>
      <c r="L32" s="5" t="n">
        <v>265.22</v>
      </c>
      <c r="M32" s="5" t="n">
        <v>270.3</v>
      </c>
      <c r="N32" s="5" t="n">
        <v>7134.45</v>
      </c>
      <c r="O32" s="5">
        <f>SUM(C30:N30)</f>
        <v/>
      </c>
      <c r="P32" s="5" t="n">
        <v>261.2</v>
      </c>
      <c r="Q32" s="5" t="n">
        <v>300.6</v>
      </c>
      <c r="R32" s="5" t="n">
        <v>286.62</v>
      </c>
      <c r="S32" s="5" t="n">
        <v>321.7</v>
      </c>
      <c r="T32" s="5" t="n">
        <v>264.02</v>
      </c>
      <c r="U32" s="5" t="n">
        <v>322.45</v>
      </c>
      <c r="V32" s="5" t="n">
        <v>285.22</v>
      </c>
      <c r="W32" s="5" t="n">
        <v>275.77</v>
      </c>
      <c r="X32" s="5">
        <f>SUM(P30:W30)</f>
        <v/>
      </c>
      <c r="Y32" s="5">
        <f>SUM(C30:J30)</f>
        <v/>
      </c>
      <c r="Z32" s="5">
        <f>X30-Y30</f>
        <v/>
      </c>
    </row>
    <row r="33">
      <c r="A33" s="2" t="inlineStr">
        <is>
          <t>310.010</t>
        </is>
      </c>
      <c r="B33" s="2" t="inlineStr">
        <is>
          <t>Cancelleria e stampati per uffici</t>
        </is>
      </c>
      <c r="C33" s="5" t="n">
        <v>262.86</v>
      </c>
      <c r="D33" s="5" t="n">
        <v>309.16</v>
      </c>
      <c r="E33" s="5" t="n">
        <v>290.99</v>
      </c>
      <c r="F33" s="5" t="n">
        <v>304.71</v>
      </c>
      <c r="G33" s="5" t="n">
        <v>292.95</v>
      </c>
      <c r="H33" s="5" t="n">
        <v>293.11</v>
      </c>
      <c r="I33" s="5" t="n">
        <v>280.2</v>
      </c>
      <c r="J33" s="5" t="n">
        <v>285.51</v>
      </c>
      <c r="K33" s="5" t="n">
        <v>273.6</v>
      </c>
      <c r="L33" s="5" t="n">
        <v>296.62</v>
      </c>
      <c r="M33" s="5" t="n">
        <v>315.98</v>
      </c>
      <c r="N33" s="5" t="n">
        <v>286.8</v>
      </c>
      <c r="O33" s="5">
        <f>SUM(C31:N31)</f>
        <v/>
      </c>
      <c r="P33" s="5" t="n">
        <v>277.98</v>
      </c>
      <c r="Q33" s="5" t="n">
        <v>305.47</v>
      </c>
      <c r="R33" s="5" t="n">
        <v>302.71</v>
      </c>
      <c r="S33" s="5" t="n">
        <v>287.16</v>
      </c>
      <c r="T33" s="5" t="n">
        <v>293.04</v>
      </c>
      <c r="U33" s="5" t="n">
        <v>285.26</v>
      </c>
      <c r="V33" s="5" t="n">
        <v>268.26</v>
      </c>
      <c r="W33" s="5" t="n">
        <v>286.73</v>
      </c>
      <c r="X33" s="5">
        <f>SUM(P31:W31)</f>
        <v/>
      </c>
      <c r="Y33" s="5">
        <f>SUM(C31:J31)</f>
        <v/>
      </c>
      <c r="Z33" s="5">
        <f>X31-Y31</f>
        <v/>
      </c>
    </row>
    <row r="34">
      <c r="A34" s="2" t="inlineStr">
        <is>
          <t>310.020</t>
        </is>
      </c>
      <c r="B34" s="2" t="inlineStr">
        <is>
          <t>Cancelleria: carta, toner e cartucce</t>
        </is>
      </c>
      <c r="C34" s="5" t="n">
        <v>305.76</v>
      </c>
      <c r="D34" s="5" t="n">
        <v>278.89</v>
      </c>
      <c r="E34" s="5" t="n">
        <v>303.53</v>
      </c>
      <c r="F34" s="5" t="n">
        <v>274.7</v>
      </c>
      <c r="G34" s="5" t="n">
        <v>293.78</v>
      </c>
      <c r="H34" s="5" t="n">
        <v>305.17</v>
      </c>
      <c r="I34" s="5" t="n">
        <v>319.27</v>
      </c>
      <c r="J34" s="5" t="n">
        <v>310.12</v>
      </c>
      <c r="K34" s="5" t="n">
        <v>286.38</v>
      </c>
      <c r="L34" s="5" t="n">
        <v>294.13</v>
      </c>
      <c r="M34" s="5" t="n">
        <v>313.35</v>
      </c>
      <c r="N34" s="5" t="n">
        <v>299.85</v>
      </c>
      <c r="O34" s="5">
        <f>SUM(C32:N32)</f>
        <v/>
      </c>
      <c r="P34" s="5" t="n">
        <v>302.39</v>
      </c>
      <c r="Q34" s="5" t="n">
        <v>296.81</v>
      </c>
      <c r="R34" s="5" t="n">
        <v>295.68</v>
      </c>
      <c r="S34" s="5" t="n">
        <v>278.96</v>
      </c>
      <c r="T34" s="5" t="n">
        <v>312.01</v>
      </c>
      <c r="U34" s="5" t="n">
        <v>288.27</v>
      </c>
      <c r="V34" s="5" t="n">
        <v>334.87</v>
      </c>
      <c r="W34" s="5" t="n">
        <v>326.06</v>
      </c>
      <c r="X34" s="5">
        <f>SUM(P32:W32)</f>
        <v/>
      </c>
      <c r="Y34" s="5">
        <f>SUM(C32:J32)</f>
        <v/>
      </c>
      <c r="Z34" s="5">
        <f>X32-Y32</f>
        <v/>
      </c>
    </row>
    <row r="35">
      <c r="A35" s="2" t="inlineStr">
        <is>
          <t>310.030</t>
        </is>
      </c>
      <c r="B35" s="2" t="inlineStr">
        <is>
          <t>Materiale di consumo per ufficio e cancelleria</t>
        </is>
      </c>
      <c r="C35" s="5" t="n">
        <v>199.18</v>
      </c>
      <c r="D35" s="5" t="n">
        <v>208.69</v>
      </c>
      <c r="E35" s="5" t="n">
        <v>194.27</v>
      </c>
      <c r="F35" s="5" t="n">
        <v>189.61</v>
      </c>
      <c r="G35" s="5" t="n">
        <v>183.91</v>
      </c>
      <c r="H35" s="5" t="n">
        <v>185.48</v>
      </c>
      <c r="I35" s="5" t="n">
        <v>180.44</v>
      </c>
      <c r="J35" s="5" t="n">
        <v>181.02</v>
      </c>
      <c r="K35" s="5" t="n">
        <v>205.93</v>
      </c>
      <c r="L35" s="5" t="n">
        <v>175.3</v>
      </c>
      <c r="M35" s="5" t="n">
        <v>204.01</v>
      </c>
      <c r="N35" s="5" t="n">
        <v>207.98</v>
      </c>
      <c r="O35" s="5">
        <f>SUM(C33:N33)</f>
        <v/>
      </c>
      <c r="P35" s="5" t="n">
        <v>189.54</v>
      </c>
      <c r="Q35" s="5" t="n">
        <v>199.12</v>
      </c>
      <c r="R35" s="5" t="n">
        <v>193.39</v>
      </c>
      <c r="S35" s="5" t="n">
        <v>182.02</v>
      </c>
      <c r="T35" s="5" t="n">
        <v>189.47</v>
      </c>
      <c r="U35" s="5" t="n">
        <v>184</v>
      </c>
      <c r="V35" s="5" t="n">
        <v>191.09</v>
      </c>
      <c r="W35" s="5" t="n">
        <v>192.04</v>
      </c>
      <c r="X35" s="5">
        <f>SUM(P33:W33)</f>
        <v/>
      </c>
      <c r="Y35" s="5">
        <f>SUM(C33:J33)</f>
        <v/>
      </c>
      <c r="Z35" s="5">
        <f>X33-Y33</f>
        <v/>
      </c>
    </row>
    <row r="36">
      <c r="A36" s="2" t="inlineStr">
        <is>
          <t>310.040</t>
        </is>
      </c>
      <c r="B36" s="2" t="inlineStr">
        <is>
          <t>Cancelleria per sala riunioni e archivio</t>
        </is>
      </c>
      <c r="C36" s="5" t="n">
        <v>117.29</v>
      </c>
      <c r="D36" s="5" t="n">
        <v>123.79</v>
      </c>
      <c r="E36" s="5" t="n">
        <v>113.5</v>
      </c>
      <c r="F36" s="5" t="n">
        <v>105.68</v>
      </c>
      <c r="G36" s="5" t="n">
        <v>114.9</v>
      </c>
      <c r="H36" s="5" t="n">
        <v>119.81</v>
      </c>
      <c r="I36" s="5" t="n">
        <v>112.52</v>
      </c>
      <c r="J36" s="5" t="n">
        <v>104.38</v>
      </c>
      <c r="K36" s="5" t="n">
        <v>115.39</v>
      </c>
      <c r="L36" s="5" t="n">
        <v>120.26</v>
      </c>
      <c r="M36" s="5" t="n">
        <v>119.01</v>
      </c>
      <c r="N36" s="5" t="n">
        <v>107.26</v>
      </c>
      <c r="O36" s="5">
        <f>SUM(C34:N34)</f>
        <v/>
      </c>
      <c r="P36" s="5" t="n">
        <v>116.03</v>
      </c>
      <c r="Q36" s="5" t="n">
        <v>130.81</v>
      </c>
      <c r="R36" s="5" t="n">
        <v>116.55</v>
      </c>
      <c r="S36" s="5" t="n">
        <v>107.84</v>
      </c>
      <c r="T36" s="5" t="n">
        <v>116.47</v>
      </c>
      <c r="U36" s="5" t="n">
        <v>116.2</v>
      </c>
      <c r="V36" s="5" t="n">
        <v>120.32</v>
      </c>
      <c r="W36" s="5" t="n">
        <v>106.94</v>
      </c>
      <c r="X36" s="5">
        <f>SUM(P34:W34)</f>
        <v/>
      </c>
      <c r="Y36" s="5">
        <f>SUM(C34:J34)</f>
        <v/>
      </c>
      <c r="Z36" s="5">
        <f>X34-Y34</f>
        <v/>
      </c>
    </row>
    <row r="37">
      <c r="A37" s="2" t="inlineStr">
        <is>
          <t>310.050</t>
        </is>
      </c>
      <c r="B37" s="2" t="inlineStr">
        <is>
          <t>Hardware di piccolo valore: periferiche e accessori</t>
        </is>
      </c>
      <c r="C37" s="5" t="n">
        <v>179.01</v>
      </c>
      <c r="D37" s="5" t="n">
        <v>213.85</v>
      </c>
      <c r="E37" s="5" t="n">
        <v>251.03</v>
      </c>
      <c r="F37" s="5" t="n">
        <v>207.13</v>
      </c>
      <c r="G37" s="5" t="n">
        <v>263.39</v>
      </c>
      <c r="H37" s="5" t="n">
        <v>240.83</v>
      </c>
      <c r="I37" s="5" t="n">
        <v>235.82</v>
      </c>
      <c r="J37" s="5" t="n">
        <v>154.78</v>
      </c>
      <c r="K37" s="5" t="n">
        <v>210.05</v>
      </c>
      <c r="L37" s="5" t="n">
        <v>249.15</v>
      </c>
      <c r="M37" s="5" t="n">
        <v>265.43</v>
      </c>
      <c r="N37" s="5" t="n">
        <v>285.29</v>
      </c>
      <c r="O37" s="5">
        <f>SUM(C35:N35)</f>
        <v/>
      </c>
      <c r="P37" s="5" t="n">
        <v>184.41</v>
      </c>
      <c r="Q37" s="5" t="n">
        <v>206.01</v>
      </c>
      <c r="R37" s="5" t="n">
        <v>242.74</v>
      </c>
      <c r="S37" s="5" t="n">
        <v>201.31</v>
      </c>
      <c r="T37" s="5" t="n">
        <v>253.47</v>
      </c>
      <c r="U37" s="5" t="n">
        <v>240.91</v>
      </c>
      <c r="V37" s="5" t="n">
        <v>244.35</v>
      </c>
      <c r="W37" s="5" t="n">
        <v>162.92</v>
      </c>
      <c r="X37" s="5">
        <f>SUM(P35:W35)</f>
        <v/>
      </c>
      <c r="Y37" s="5">
        <f>SUM(C35:J35)</f>
        <v/>
      </c>
      <c r="Z37" s="5">
        <f>X35-Y35</f>
        <v/>
      </c>
    </row>
    <row r="38">
      <c r="A38" s="2" t="inlineStr">
        <is>
          <t>310.060</t>
        </is>
      </c>
      <c r="B38" s="2" t="inlineStr">
        <is>
          <t>Hardware: memorie, dischi e componenti</t>
        </is>
      </c>
      <c r="C38" s="5" t="n">
        <v>107.96</v>
      </c>
      <c r="D38" s="5" t="n">
        <v>116.89</v>
      </c>
      <c r="E38" s="5" t="n">
        <v>129.53</v>
      </c>
      <c r="F38" s="5" t="n">
        <v>117.35</v>
      </c>
      <c r="G38" s="5" t="n">
        <v>142.76</v>
      </c>
      <c r="H38" s="5" t="n">
        <v>140.16</v>
      </c>
      <c r="I38" s="5" t="n">
        <v>129.96</v>
      </c>
      <c r="J38" s="5" t="n">
        <v>78.90000000000001</v>
      </c>
      <c r="K38" s="5" t="n">
        <v>125.76</v>
      </c>
      <c r="L38" s="5" t="n">
        <v>129.64</v>
      </c>
      <c r="M38" s="5" t="n">
        <v>137.2</v>
      </c>
      <c r="N38" s="5" t="n">
        <v>169.99</v>
      </c>
      <c r="O38" s="5">
        <f>SUM(C36:N36)</f>
        <v/>
      </c>
      <c r="P38" s="5" t="n">
        <v>101.74</v>
      </c>
      <c r="Q38" s="5" t="n">
        <v>120.41</v>
      </c>
      <c r="R38" s="5" t="n">
        <v>122.09</v>
      </c>
      <c r="S38" s="5" t="n">
        <v>124.64</v>
      </c>
      <c r="T38" s="5" t="n">
        <v>145.02</v>
      </c>
      <c r="U38" s="5" t="n">
        <v>132.2</v>
      </c>
      <c r="V38" s="5" t="n">
        <v>138.29</v>
      </c>
      <c r="W38" s="5" t="n">
        <v>75.01000000000001</v>
      </c>
      <c r="X38" s="5">
        <f>SUM(P36:W36)</f>
        <v/>
      </c>
      <c r="Y38" s="5">
        <f>SUM(C36:J36)</f>
        <v/>
      </c>
      <c r="Z38" s="5">
        <f>X36-Y36</f>
        <v/>
      </c>
    </row>
    <row r="39">
      <c r="A39" s="2" t="inlineStr">
        <is>
          <t>310.070</t>
        </is>
      </c>
      <c r="B39" s="2" t="inlineStr">
        <is>
          <t>Hardware: cavi, adattatori e materiale informatico di consumo</t>
        </is>
      </c>
      <c r="C39" s="5" t="n">
        <v>105.76</v>
      </c>
      <c r="D39" s="5" t="n">
        <v>110.77</v>
      </c>
      <c r="E39" s="5" t="n">
        <v>119.18</v>
      </c>
      <c r="F39" s="5" t="n">
        <v>115.27</v>
      </c>
      <c r="G39" s="5" t="n">
        <v>146.34</v>
      </c>
      <c r="H39" s="5" t="n">
        <v>155.02</v>
      </c>
      <c r="I39" s="5" t="n">
        <v>135.26</v>
      </c>
      <c r="J39" s="5" t="n">
        <v>85.06999999999999</v>
      </c>
      <c r="K39" s="5" t="n">
        <v>114.91</v>
      </c>
      <c r="L39" s="5" t="n">
        <v>145.19</v>
      </c>
      <c r="M39" s="5" t="n">
        <v>128</v>
      </c>
      <c r="N39" s="5" t="n">
        <v>160.49</v>
      </c>
      <c r="O39" s="5">
        <f>SUM(C37:N37)</f>
        <v/>
      </c>
      <c r="P39" s="5" t="n">
        <v>109.89</v>
      </c>
      <c r="Q39" s="5" t="n">
        <v>113.22</v>
      </c>
      <c r="R39" s="5" t="n">
        <v>119.97</v>
      </c>
      <c r="S39" s="5" t="n">
        <v>113.33</v>
      </c>
      <c r="T39" s="5" t="n">
        <v>139.72</v>
      </c>
      <c r="U39" s="5" t="n">
        <v>146.44</v>
      </c>
      <c r="V39" s="5" t="n">
        <v>136.8</v>
      </c>
      <c r="W39" s="5" t="n">
        <v>85.03</v>
      </c>
      <c r="X39" s="5">
        <f>SUM(P37:W37)</f>
        <v/>
      </c>
      <c r="Y39" s="5">
        <f>SUM(C37:J37)</f>
        <v/>
      </c>
      <c r="Z39" s="5">
        <f>X37-Y37</f>
        <v/>
      </c>
    </row>
    <row r="40">
      <c r="A40" s="2" t="inlineStr">
        <is>
          <t>310.080</t>
        </is>
      </c>
      <c r="B40" s="2" t="inlineStr">
        <is>
          <t>Hardware di piccolo valore: cuffie, webcam e dispositivi per videoconferenza</t>
        </is>
      </c>
      <c r="C40" s="5" t="n">
        <v>79.95</v>
      </c>
      <c r="D40" s="5" t="n">
        <v>95.31</v>
      </c>
      <c r="E40" s="5" t="n">
        <v>112.22</v>
      </c>
      <c r="F40" s="5" t="n">
        <v>106.7</v>
      </c>
      <c r="G40" s="5" t="n">
        <v>103.99</v>
      </c>
      <c r="H40" s="5" t="n">
        <v>111.24</v>
      </c>
      <c r="I40" s="5" t="n">
        <v>100.07</v>
      </c>
      <c r="J40" s="5" t="n">
        <v>64.48</v>
      </c>
      <c r="K40" s="5" t="n">
        <v>94.98999999999999</v>
      </c>
      <c r="L40" s="5" t="n">
        <v>110.32</v>
      </c>
      <c r="M40" s="5" t="n">
        <v>107.74</v>
      </c>
      <c r="N40" s="5" t="n">
        <v>142.36</v>
      </c>
      <c r="O40" s="5">
        <f>SUM(C38:N38)</f>
        <v/>
      </c>
      <c r="P40" s="5" t="n">
        <v>78.98999999999999</v>
      </c>
      <c r="Q40" s="5" t="n">
        <v>90.81</v>
      </c>
      <c r="R40" s="5" t="n">
        <v>105.63</v>
      </c>
      <c r="S40" s="5" t="n">
        <v>113.18</v>
      </c>
      <c r="T40" s="5" t="n">
        <v>97.86</v>
      </c>
      <c r="U40" s="5" t="n">
        <v>108.33</v>
      </c>
      <c r="V40" s="5" t="n">
        <v>106.52</v>
      </c>
      <c r="W40" s="5" t="n">
        <v>63.76</v>
      </c>
      <c r="X40" s="5">
        <f>SUM(P38:W38)</f>
        <v/>
      </c>
      <c r="Y40" s="5">
        <f>SUM(C38:J38)</f>
        <v/>
      </c>
      <c r="Z40" s="5">
        <f>X38-Y38</f>
        <v/>
      </c>
    </row>
    <row r="41">
      <c r="A41" s="2" t="inlineStr">
        <is>
          <t>310.090</t>
        </is>
      </c>
      <c r="B41" s="2" t="inlineStr">
        <is>
          <t>Materiale di pulizia per uffici</t>
        </is>
      </c>
      <c r="C41" s="5" t="n">
        <v>90.43000000000001</v>
      </c>
      <c r="D41" s="5" t="n">
        <v>87.5</v>
      </c>
      <c r="E41" s="5" t="n">
        <v>89.58</v>
      </c>
      <c r="F41" s="5" t="n">
        <v>101.21</v>
      </c>
      <c r="G41" s="5" t="n">
        <v>99.18000000000001</v>
      </c>
      <c r="H41" s="5" t="n">
        <v>100.53</v>
      </c>
      <c r="I41" s="5" t="n">
        <v>88.26000000000001</v>
      </c>
      <c r="J41" s="5" t="n">
        <v>94.34</v>
      </c>
      <c r="K41" s="5" t="n">
        <v>91.48</v>
      </c>
      <c r="L41" s="5" t="n">
        <v>89.5</v>
      </c>
      <c r="M41" s="5" t="n">
        <v>98.89</v>
      </c>
      <c r="N41" s="5" t="n">
        <v>87.25</v>
      </c>
      <c r="O41" s="5">
        <f>SUM(C39:N39)</f>
        <v/>
      </c>
      <c r="P41" s="5" t="n">
        <v>94.53</v>
      </c>
      <c r="Q41" s="5" t="n">
        <v>82.34</v>
      </c>
      <c r="R41" s="5" t="n">
        <v>87.06</v>
      </c>
      <c r="S41" s="5" t="n">
        <v>108.21</v>
      </c>
      <c r="T41" s="5" t="n">
        <v>98.17</v>
      </c>
      <c r="U41" s="5" t="n">
        <v>107.55</v>
      </c>
      <c r="V41" s="5" t="n">
        <v>88.14</v>
      </c>
      <c r="W41" s="5" t="n">
        <v>95.08</v>
      </c>
      <c r="X41" s="5">
        <f>SUM(P39:W39)</f>
        <v/>
      </c>
      <c r="Y41" s="5">
        <f>SUM(C39:J39)</f>
        <v/>
      </c>
      <c r="Z41" s="5">
        <f>X39-Y39</f>
        <v/>
      </c>
    </row>
    <row r="42">
      <c r="A42" s="2" t="inlineStr">
        <is>
          <t>310.100</t>
        </is>
      </c>
      <c r="B42" s="2" t="inlineStr">
        <is>
          <t>Materiale di igiene e sanificazione (pulizia)</t>
        </is>
      </c>
      <c r="C42" s="5" t="n">
        <v>39.85</v>
      </c>
      <c r="D42" s="5" t="n">
        <v>38.69</v>
      </c>
      <c r="E42" s="5" t="n">
        <v>38.18</v>
      </c>
      <c r="F42" s="5" t="n">
        <v>37.81</v>
      </c>
      <c r="G42" s="5" t="n">
        <v>40.69</v>
      </c>
      <c r="H42" s="5" t="n">
        <v>41.19</v>
      </c>
      <c r="I42" s="5" t="n">
        <v>37.22</v>
      </c>
      <c r="J42" s="5" t="n">
        <v>37.02</v>
      </c>
      <c r="K42" s="5" t="n">
        <v>37.69</v>
      </c>
      <c r="L42" s="5" t="n">
        <v>35.76</v>
      </c>
      <c r="M42" s="5" t="n">
        <v>35.32</v>
      </c>
      <c r="N42" s="5" t="n">
        <v>38.42</v>
      </c>
      <c r="O42" s="5">
        <f>SUM(C40:N40)</f>
        <v/>
      </c>
      <c r="P42" s="5" t="n">
        <v>41.16</v>
      </c>
      <c r="Q42" s="5" t="n">
        <v>37.06</v>
      </c>
      <c r="R42" s="5" t="n">
        <v>36.2</v>
      </c>
      <c r="S42" s="5" t="n">
        <v>35.95</v>
      </c>
      <c r="T42" s="5" t="n">
        <v>42.54</v>
      </c>
      <c r="U42" s="5" t="n">
        <v>40.34</v>
      </c>
      <c r="V42" s="5" t="n">
        <v>36.74</v>
      </c>
      <c r="W42" s="5" t="n">
        <v>37.77</v>
      </c>
      <c r="X42" s="5">
        <f>SUM(P40:W40)</f>
        <v/>
      </c>
      <c r="Y42" s="5">
        <f>SUM(C40:J40)</f>
        <v/>
      </c>
      <c r="Z42" s="5">
        <f>X40-Y40</f>
        <v/>
      </c>
    </row>
    <row r="43">
      <c r="A43" s="2" t="inlineStr">
        <is>
          <t>310.110</t>
        </is>
      </c>
      <c r="B43" s="2" t="inlineStr">
        <is>
          <t>Prodotti per pulizia e cucina uffici</t>
        </is>
      </c>
      <c r="C43" s="5" t="n">
        <v>19.67</v>
      </c>
      <c r="D43" s="5" t="n">
        <v>20.59</v>
      </c>
      <c r="E43" s="5" t="n">
        <v>19.95</v>
      </c>
      <c r="F43" s="5" t="n">
        <v>20.13</v>
      </c>
      <c r="G43" s="5" t="n">
        <v>21.79</v>
      </c>
      <c r="H43" s="5" t="n">
        <v>19.29</v>
      </c>
      <c r="I43" s="5" t="n">
        <v>18.99</v>
      </c>
      <c r="J43" s="5" t="n">
        <v>19.15</v>
      </c>
      <c r="K43" s="5" t="n">
        <v>20.57</v>
      </c>
      <c r="L43" s="5" t="n">
        <v>21.92</v>
      </c>
      <c r="M43" s="5" t="n">
        <v>20.44</v>
      </c>
      <c r="N43" s="5" t="n">
        <v>22.63</v>
      </c>
      <c r="O43" s="5">
        <f>SUM(C41:N41)</f>
        <v/>
      </c>
      <c r="P43" s="5" t="n">
        <v>20.8</v>
      </c>
      <c r="Q43" s="5" t="n">
        <v>20.41</v>
      </c>
      <c r="R43" s="5" t="n">
        <v>20.29</v>
      </c>
      <c r="S43" s="5" t="n">
        <v>19.36</v>
      </c>
      <c r="T43" s="5" t="n">
        <v>22.3</v>
      </c>
      <c r="U43" s="5" t="n">
        <v>19.43</v>
      </c>
      <c r="V43" s="5" t="n">
        <v>19.89</v>
      </c>
      <c r="W43" s="5" t="n">
        <v>19.25</v>
      </c>
      <c r="X43" s="5">
        <f>SUM(P41:W41)</f>
        <v/>
      </c>
      <c r="Y43" s="5">
        <f>SUM(C41:J41)</f>
        <v/>
      </c>
      <c r="Z43" s="5">
        <f>X41-Y41</f>
        <v/>
      </c>
    </row>
    <row r="44">
      <c r="A44" s="2" t="inlineStr">
        <is>
          <t>310.120</t>
        </is>
      </c>
      <c r="B44" s="2" t="inlineStr">
        <is>
          <t>Carburanti autovetture aziendali</t>
        </is>
      </c>
      <c r="C44" s="5" t="n">
        <v>296.36</v>
      </c>
      <c r="D44" s="5" t="n">
        <v>358.08</v>
      </c>
      <c r="E44" s="5" t="n">
        <v>575.75</v>
      </c>
      <c r="F44" s="5" t="n">
        <v>580.95</v>
      </c>
      <c r="G44" s="5" t="n">
        <v>598.6</v>
      </c>
      <c r="H44" s="5" t="n">
        <v>442.51</v>
      </c>
      <c r="I44" s="5" t="n">
        <v>335.04</v>
      </c>
      <c r="J44" s="5" t="n">
        <v>99.64</v>
      </c>
      <c r="K44" s="5" t="n">
        <v>635.1799999999999</v>
      </c>
      <c r="L44" s="5" t="n">
        <v>751.9299999999999</v>
      </c>
      <c r="M44" s="5" t="n">
        <v>588.64</v>
      </c>
      <c r="N44" s="5" t="n">
        <v>311.74</v>
      </c>
      <c r="O44" s="5">
        <f>SUM(C42:N42)</f>
        <v/>
      </c>
      <c r="P44" s="5" t="n">
        <v>285.76</v>
      </c>
      <c r="Q44" s="5" t="n">
        <v>378.61</v>
      </c>
      <c r="R44" s="5" t="n">
        <v>610.0599999999999</v>
      </c>
      <c r="S44" s="5" t="n">
        <v>561.92</v>
      </c>
      <c r="T44" s="5" t="n">
        <v>638.12</v>
      </c>
      <c r="U44" s="5" t="n">
        <v>457.04</v>
      </c>
      <c r="V44" s="5" t="n">
        <v>339.57</v>
      </c>
      <c r="W44" s="5" t="n">
        <v>102.46</v>
      </c>
      <c r="X44" s="5">
        <f>SUM(P42:W42)</f>
        <v/>
      </c>
      <c r="Y44" s="5">
        <f>SUM(C42:J42)</f>
        <v/>
      </c>
      <c r="Z44" s="5">
        <f>X42-Y42</f>
        <v/>
      </c>
    </row>
    <row r="45">
      <c r="A45" s="2" t="inlineStr">
        <is>
          <t>310.130</t>
        </is>
      </c>
      <c r="B45" s="2" t="inlineStr">
        <is>
          <t>Carburanti e lubrificanti per autovetture di servizio</t>
        </is>
      </c>
      <c r="C45" s="5" t="n">
        <v>65.12</v>
      </c>
      <c r="D45" s="5" t="n">
        <v>85.09999999999999</v>
      </c>
      <c r="E45" s="5" t="n">
        <v>126.83</v>
      </c>
      <c r="F45" s="5" t="n">
        <v>121.74</v>
      </c>
      <c r="G45" s="5" t="n">
        <v>141.99</v>
      </c>
      <c r="H45" s="5" t="n">
        <v>99.56</v>
      </c>
      <c r="I45" s="5" t="n">
        <v>79.29000000000001</v>
      </c>
      <c r="J45" s="5" t="n">
        <v>22.52</v>
      </c>
      <c r="K45" s="5" t="n">
        <v>138.84</v>
      </c>
      <c r="L45" s="5" t="n">
        <v>173.52</v>
      </c>
      <c r="M45" s="5" t="n">
        <v>138.37</v>
      </c>
      <c r="N45" s="5" t="n">
        <v>61.72</v>
      </c>
      <c r="O45" s="5">
        <f>SUM(C43:N43)</f>
        <v/>
      </c>
      <c r="P45" s="5" t="n">
        <v>69.67</v>
      </c>
      <c r="Q45" s="5" t="n">
        <v>85.2</v>
      </c>
      <c r="R45" s="5" t="n">
        <v>121.37</v>
      </c>
      <c r="S45" s="5" t="n">
        <v>128.55</v>
      </c>
      <c r="T45" s="5" t="n">
        <v>150.64</v>
      </c>
      <c r="U45" s="5" t="n">
        <v>101.34</v>
      </c>
      <c r="V45" s="5" t="n">
        <v>83.92</v>
      </c>
      <c r="W45" s="5" t="n">
        <v>21.35</v>
      </c>
      <c r="X45" s="5">
        <f>SUM(P43:W43)</f>
        <v/>
      </c>
      <c r="Y45" s="5">
        <f>SUM(C43:J43)</f>
        <v/>
      </c>
      <c r="Z45" s="5">
        <f>X43-Y43</f>
        <v/>
      </c>
    </row>
    <row r="46">
      <c r="A46" s="2" t="inlineStr">
        <is>
          <t>320.010</t>
        </is>
      </c>
      <c r="B46" s="2" t="inlineStr">
        <is>
          <t>Consulenze informatiche: architettura e sviluppo applicativo</t>
        </is>
      </c>
      <c r="C46" s="5" t="n">
        <v>1766.78</v>
      </c>
      <c r="D46" s="5" t="n">
        <v>2066.49</v>
      </c>
      <c r="E46" s="5" t="n">
        <v>2266.27</v>
      </c>
      <c r="F46" s="5" t="n">
        <v>2343.33</v>
      </c>
      <c r="G46" s="5" t="n">
        <v>2230.47</v>
      </c>
      <c r="H46" s="5" t="n">
        <v>2535.21</v>
      </c>
      <c r="I46" s="5" t="n">
        <v>2172.68</v>
      </c>
      <c r="J46" s="5" t="n">
        <v>1497.75</v>
      </c>
      <c r="K46" s="5" t="n">
        <v>2403.15</v>
      </c>
      <c r="L46" s="5" t="n">
        <v>2266.27</v>
      </c>
      <c r="M46" s="5" t="n">
        <v>2534.39</v>
      </c>
      <c r="N46" s="5" t="n">
        <v>3112.86</v>
      </c>
      <c r="O46" s="5">
        <f>SUM(C44:N44)</f>
        <v/>
      </c>
      <c r="P46" s="5" t="n">
        <v>1753.45</v>
      </c>
      <c r="Q46" s="5" t="n">
        <v>2126.26</v>
      </c>
      <c r="R46" s="5" t="n">
        <v>2295.93</v>
      </c>
      <c r="S46" s="5" t="n">
        <v>2338.01</v>
      </c>
      <c r="T46" s="5" t="n">
        <v>2161.88</v>
      </c>
      <c r="U46" s="5" t="n">
        <v>2611.42</v>
      </c>
      <c r="V46" s="5" t="n">
        <v>2068.03</v>
      </c>
      <c r="W46" s="5" t="n">
        <v>1499.49</v>
      </c>
      <c r="X46" s="5">
        <f>SUM(P44:W44)</f>
        <v/>
      </c>
      <c r="Y46" s="5">
        <f>SUM(C44:J44)</f>
        <v/>
      </c>
      <c r="Z46" s="5">
        <f>X44-Y44</f>
        <v/>
      </c>
    </row>
    <row r="47">
      <c r="A47" s="2" t="inlineStr">
        <is>
          <t>320.020</t>
        </is>
      </c>
      <c r="B47" s="2" t="inlineStr">
        <is>
          <t>Consulenze di data science e analisi dei dati</t>
        </is>
      </c>
      <c r="C47" s="5" t="n">
        <v>1628.56</v>
      </c>
      <c r="D47" s="5" t="n">
        <v>1709.53</v>
      </c>
      <c r="E47" s="5" t="n">
        <v>1999.94</v>
      </c>
      <c r="F47" s="5" t="n">
        <v>1801.18</v>
      </c>
      <c r="G47" s="5" t="n">
        <v>2041.59</v>
      </c>
      <c r="H47" s="5" t="n">
        <v>2027.99</v>
      </c>
      <c r="I47" s="5" t="n">
        <v>1892.53</v>
      </c>
      <c r="J47" s="5" t="n">
        <v>1101.46</v>
      </c>
      <c r="K47" s="5" t="n">
        <v>1686.05</v>
      </c>
      <c r="L47" s="5" t="n">
        <v>2123.13</v>
      </c>
      <c r="M47" s="5" t="n">
        <v>1998.7</v>
      </c>
      <c r="N47" s="5" t="n">
        <v>2544.57</v>
      </c>
      <c r="O47" s="5">
        <f>SUM(C45:N45)</f>
        <v/>
      </c>
      <c r="P47" s="5" t="n">
        <v>1667.9</v>
      </c>
      <c r="Q47" s="5" t="n">
        <v>1743.63</v>
      </c>
      <c r="R47" s="5" t="n">
        <v>1908.09</v>
      </c>
      <c r="S47" s="5" t="n">
        <v>1879.18</v>
      </c>
      <c r="T47" s="5" t="n">
        <v>2132.24</v>
      </c>
      <c r="U47" s="5" t="n">
        <v>2141.16</v>
      </c>
      <c r="V47" s="5" t="n">
        <v>1839.14</v>
      </c>
      <c r="W47" s="5" t="n">
        <v>1128.83</v>
      </c>
      <c r="X47" s="5">
        <f>SUM(P45:W45)</f>
        <v/>
      </c>
      <c r="Y47" s="5">
        <f>SUM(C45:J45)</f>
        <v/>
      </c>
      <c r="Z47" s="5">
        <f>X45-Y45</f>
        <v/>
      </c>
    </row>
    <row r="48">
      <c r="A48" s="2" t="inlineStr">
        <is>
          <t>320.030</t>
        </is>
      </c>
      <c r="B48" s="2" t="inlineStr">
        <is>
          <t>Consulenze di sicurezza informatica e penetration test</t>
        </is>
      </c>
      <c r="C48" s="5" t="n">
        <v>885.11</v>
      </c>
      <c r="D48" s="5" t="n">
        <v>924.48</v>
      </c>
      <c r="E48" s="5" t="n">
        <v>1110</v>
      </c>
      <c r="F48" s="5" t="n">
        <v>976.5599999999999</v>
      </c>
      <c r="G48" s="5" t="n">
        <v>1044.06</v>
      </c>
      <c r="H48" s="5" t="n">
        <v>1068.02</v>
      </c>
      <c r="I48" s="5" t="n">
        <v>1113.33</v>
      </c>
      <c r="J48" s="5" t="n">
        <v>666.08</v>
      </c>
      <c r="K48" s="5" t="n">
        <v>1046.95</v>
      </c>
      <c r="L48" s="5" t="n">
        <v>1079.64</v>
      </c>
      <c r="M48" s="5" t="n">
        <v>1046.81</v>
      </c>
      <c r="N48" s="5" t="n">
        <v>1427.14</v>
      </c>
      <c r="O48" s="5">
        <f>SUM(C46:N46)</f>
        <v/>
      </c>
      <c r="P48" s="5" t="n">
        <v>902.79</v>
      </c>
      <c r="Q48" s="5" t="n">
        <v>933.46</v>
      </c>
      <c r="R48" s="5" t="n">
        <v>1070.08</v>
      </c>
      <c r="S48" s="5" t="n">
        <v>1019.33</v>
      </c>
      <c r="T48" s="5" t="n">
        <v>1016.45</v>
      </c>
      <c r="U48" s="5" t="n">
        <v>1048.09</v>
      </c>
      <c r="V48" s="5" t="n">
        <v>1113.68</v>
      </c>
      <c r="W48" s="5" t="n">
        <v>660.01</v>
      </c>
      <c r="X48" s="5">
        <f>SUM(P46:W46)</f>
        <v/>
      </c>
      <c r="Y48" s="5">
        <f>SUM(C46:J46)</f>
        <v/>
      </c>
      <c r="Z48" s="5">
        <f>X46-Y46</f>
        <v/>
      </c>
    </row>
    <row r="49">
      <c r="A49" s="2" t="inlineStr">
        <is>
          <t>320.040</t>
        </is>
      </c>
      <c r="B49" s="2" t="inlineStr">
        <is>
          <t>Consulenze tecniche: user experience e design</t>
        </is>
      </c>
      <c r="C49" s="5" t="n">
        <v>842.03</v>
      </c>
      <c r="D49" s="5" t="n">
        <v>805.0700000000001</v>
      </c>
      <c r="E49" s="5" t="n">
        <v>1040.11</v>
      </c>
      <c r="F49" s="5" t="n">
        <v>900.48</v>
      </c>
      <c r="G49" s="5" t="n">
        <v>963.5</v>
      </c>
      <c r="H49" s="5" t="n">
        <v>1124.6</v>
      </c>
      <c r="I49" s="5" t="n">
        <v>1007.83</v>
      </c>
      <c r="J49" s="5" t="n">
        <v>574.29</v>
      </c>
      <c r="K49" s="5" t="n">
        <v>897.46</v>
      </c>
      <c r="L49" s="5" t="n">
        <v>977.37</v>
      </c>
      <c r="M49" s="5" t="n">
        <v>1115.38</v>
      </c>
      <c r="N49" s="5" t="n">
        <v>1250.45</v>
      </c>
      <c r="O49" s="5">
        <f>SUM(C47:N47)</f>
        <v/>
      </c>
      <c r="P49" s="5" t="n">
        <v>877.64</v>
      </c>
      <c r="Q49" s="5" t="n">
        <v>840.76</v>
      </c>
      <c r="R49" s="5" t="n">
        <v>1102.31</v>
      </c>
      <c r="S49" s="5" t="n">
        <v>870.41</v>
      </c>
      <c r="T49" s="5" t="n">
        <v>1023.92</v>
      </c>
      <c r="U49" s="5" t="n">
        <v>1167.95</v>
      </c>
      <c r="V49" s="5" t="n">
        <v>1018.03</v>
      </c>
      <c r="W49" s="5" t="n">
        <v>561.97</v>
      </c>
      <c r="X49" s="5">
        <f>SUM(P47:W47)</f>
        <v/>
      </c>
      <c r="Y49" s="5">
        <f>SUM(C47:J47)</f>
        <v/>
      </c>
      <c r="Z49" s="5">
        <f>X47-Y47</f>
        <v/>
      </c>
    </row>
    <row r="50">
      <c r="A50" s="2" t="inlineStr">
        <is>
          <t>320.050</t>
        </is>
      </c>
      <c r="B50" s="2" t="inlineStr">
        <is>
          <t>Consulenze sistemistiche e DevOps</t>
        </is>
      </c>
      <c r="C50" s="5" t="n">
        <v>1586.4</v>
      </c>
      <c r="D50" s="5" t="n">
        <v>1622.96</v>
      </c>
      <c r="E50" s="5" t="n">
        <v>1860.41</v>
      </c>
      <c r="F50" s="5" t="n">
        <v>1830.92</v>
      </c>
      <c r="G50" s="5" t="n">
        <v>1783.16</v>
      </c>
      <c r="H50" s="5" t="n">
        <v>1824.57</v>
      </c>
      <c r="I50" s="5" t="n">
        <v>1653.41</v>
      </c>
      <c r="J50" s="5" t="n">
        <v>1153.05</v>
      </c>
      <c r="K50" s="5" t="n">
        <v>1719.69</v>
      </c>
      <c r="L50" s="5" t="n">
        <v>2031.88</v>
      </c>
      <c r="M50" s="5" t="n">
        <v>1937.39</v>
      </c>
      <c r="N50" s="5" t="n">
        <v>2191.75</v>
      </c>
      <c r="O50" s="5">
        <f>SUM(C48:N48)</f>
        <v/>
      </c>
      <c r="P50" s="5" t="n">
        <v>1695.04</v>
      </c>
      <c r="Q50" s="5" t="n">
        <v>1573.03</v>
      </c>
      <c r="R50" s="5" t="n">
        <v>1942.8</v>
      </c>
      <c r="S50" s="5" t="n">
        <v>1866.51</v>
      </c>
      <c r="T50" s="5" t="n">
        <v>1829.44</v>
      </c>
      <c r="U50" s="5" t="n">
        <v>1747.11</v>
      </c>
      <c r="V50" s="5" t="n">
        <v>1566.12</v>
      </c>
      <c r="W50" s="5" t="n">
        <v>1095.05</v>
      </c>
      <c r="X50" s="5">
        <f>SUM(P48:W48)</f>
        <v/>
      </c>
      <c r="Y50" s="5">
        <f>SUM(C48:J48)</f>
        <v/>
      </c>
      <c r="Z50" s="5">
        <f>X48-Y48</f>
        <v/>
      </c>
    </row>
    <row r="51">
      <c r="A51" s="2" t="inlineStr">
        <is>
          <t>320.060</t>
        </is>
      </c>
      <c r="B51" s="2" t="inlineStr">
        <is>
          <t>Consulenze legali e contrattuali</t>
        </is>
      </c>
      <c r="C51" s="5" t="n">
        <v>537.75</v>
      </c>
      <c r="D51" s="5" t="n">
        <v>580.14</v>
      </c>
      <c r="E51" s="5" t="n">
        <v>539.71</v>
      </c>
      <c r="F51" s="5" t="n">
        <v>509.68</v>
      </c>
      <c r="G51" s="5" t="n">
        <v>533.52</v>
      </c>
      <c r="H51" s="5" t="n">
        <v>532.65</v>
      </c>
      <c r="I51" s="5" t="n">
        <v>522.12</v>
      </c>
      <c r="J51" s="5" t="n">
        <v>582.54</v>
      </c>
      <c r="K51" s="5" t="n">
        <v>556.63</v>
      </c>
      <c r="L51" s="5" t="n">
        <v>504.14</v>
      </c>
      <c r="M51" s="5" t="n">
        <v>563.73</v>
      </c>
      <c r="N51" s="5" t="n">
        <v>560.36</v>
      </c>
      <c r="O51" s="5">
        <f>SUM(C49:N49)</f>
        <v/>
      </c>
      <c r="P51" s="5" t="n">
        <v>530.42</v>
      </c>
      <c r="Q51" s="5" t="n">
        <v>617.0700000000001</v>
      </c>
      <c r="R51" s="5" t="n">
        <v>523.96</v>
      </c>
      <c r="S51" s="5" t="n">
        <v>526.39</v>
      </c>
      <c r="T51" s="5" t="n">
        <v>547.66</v>
      </c>
      <c r="U51" s="5" t="n">
        <v>508.2</v>
      </c>
      <c r="V51" s="5" t="n">
        <v>522.05</v>
      </c>
      <c r="W51" s="5" t="n">
        <v>593.52</v>
      </c>
      <c r="X51" s="5">
        <f>SUM(P49:W49)</f>
        <v/>
      </c>
      <c r="Y51" s="5">
        <f>SUM(C49:J49)</f>
        <v/>
      </c>
      <c r="Z51" s="5">
        <f>X49-Y49</f>
        <v/>
      </c>
    </row>
    <row r="52">
      <c r="A52" s="2" t="inlineStr">
        <is>
          <t>320.070</t>
        </is>
      </c>
      <c r="B52" s="2" t="inlineStr">
        <is>
          <t>Consulenze fiscali e tributarie</t>
        </is>
      </c>
      <c r="C52" s="5" t="n">
        <v>466.57</v>
      </c>
      <c r="D52" s="5" t="n">
        <v>482.22</v>
      </c>
      <c r="E52" s="5" t="n">
        <v>515.26</v>
      </c>
      <c r="F52" s="5" t="n">
        <v>461.34</v>
      </c>
      <c r="G52" s="5" t="n">
        <v>428.79</v>
      </c>
      <c r="H52" s="5" t="n">
        <v>497.79</v>
      </c>
      <c r="I52" s="5" t="n">
        <v>452.73</v>
      </c>
      <c r="J52" s="5" t="n">
        <v>432.57</v>
      </c>
      <c r="K52" s="5" t="n">
        <v>479.66</v>
      </c>
      <c r="L52" s="5" t="n">
        <v>443.24</v>
      </c>
      <c r="M52" s="5" t="n">
        <v>422</v>
      </c>
      <c r="N52" s="5" t="n">
        <v>476.17</v>
      </c>
      <c r="O52" s="5">
        <f>SUM(C50:N50)</f>
        <v/>
      </c>
      <c r="P52" s="5" t="n">
        <v>454.52</v>
      </c>
      <c r="Q52" s="5" t="n">
        <v>466.76</v>
      </c>
      <c r="R52" s="5" t="n">
        <v>540.64</v>
      </c>
      <c r="S52" s="5" t="n">
        <v>449.87</v>
      </c>
      <c r="T52" s="5" t="n">
        <v>432.39</v>
      </c>
      <c r="U52" s="5" t="n">
        <v>499.27</v>
      </c>
      <c r="V52" s="5" t="n">
        <v>439.64</v>
      </c>
      <c r="W52" s="5" t="n">
        <v>462</v>
      </c>
      <c r="X52" s="5">
        <f>SUM(P50:W50)</f>
        <v/>
      </c>
      <c r="Y52" s="5">
        <f>SUM(C50:J50)</f>
        <v/>
      </c>
      <c r="Z52" s="5">
        <f>X50-Y50</f>
        <v/>
      </c>
    </row>
    <row r="53">
      <c r="A53" s="2" t="inlineStr">
        <is>
          <t>320.080</t>
        </is>
      </c>
      <c r="B53" s="2" t="inlineStr">
        <is>
          <t>Consulenze del lavoro e paghe</t>
        </is>
      </c>
      <c r="C53" s="5" t="n">
        <v>564.78</v>
      </c>
      <c r="D53" s="5" t="n">
        <v>553.7</v>
      </c>
      <c r="E53" s="5" t="n">
        <v>621.97</v>
      </c>
      <c r="F53" s="5" t="n">
        <v>567.99</v>
      </c>
      <c r="G53" s="5" t="n">
        <v>599.08</v>
      </c>
      <c r="H53" s="5" t="n">
        <v>584.9299999999999</v>
      </c>
      <c r="I53" s="5" t="n">
        <v>593.86</v>
      </c>
      <c r="J53" s="5" t="n">
        <v>594.75</v>
      </c>
      <c r="K53" s="5" t="n">
        <v>594.9299999999999</v>
      </c>
      <c r="L53" s="5" t="n">
        <v>611.97</v>
      </c>
      <c r="M53" s="5" t="n">
        <v>581.4299999999999</v>
      </c>
      <c r="N53" s="5" t="n">
        <v>546.0599999999999</v>
      </c>
      <c r="O53" s="5">
        <f>SUM(C51:N51)</f>
        <v/>
      </c>
      <c r="P53" s="5" t="n">
        <v>554.79</v>
      </c>
      <c r="Q53" s="5" t="n">
        <v>550.5</v>
      </c>
      <c r="R53" s="5" t="n">
        <v>652.9400000000001</v>
      </c>
      <c r="S53" s="5" t="n">
        <v>582.15</v>
      </c>
      <c r="T53" s="5" t="n">
        <v>576.87</v>
      </c>
      <c r="U53" s="5" t="n">
        <v>576.9</v>
      </c>
      <c r="V53" s="5" t="n">
        <v>609.98</v>
      </c>
      <c r="W53" s="5" t="n">
        <v>631.48</v>
      </c>
      <c r="X53" s="5">
        <f>SUM(P51:W51)</f>
        <v/>
      </c>
      <c r="Y53" s="5">
        <f>SUM(C51:J51)</f>
        <v/>
      </c>
      <c r="Z53" s="5">
        <f>X51-Y51</f>
        <v/>
      </c>
    </row>
    <row r="54">
      <c r="A54" s="2" t="inlineStr">
        <is>
          <t>320.090</t>
        </is>
      </c>
      <c r="B54" s="2" t="inlineStr">
        <is>
          <t>Consulenze in materia di protezione dei dati (GDPR)</t>
        </is>
      </c>
      <c r="C54" s="5" t="n">
        <v>222.19</v>
      </c>
      <c r="D54" s="5" t="n">
        <v>236.26</v>
      </c>
      <c r="E54" s="5" t="n">
        <v>247.99</v>
      </c>
      <c r="F54" s="5" t="n">
        <v>233.1</v>
      </c>
      <c r="G54" s="5" t="n">
        <v>242.74</v>
      </c>
      <c r="H54" s="5" t="n">
        <v>224.89</v>
      </c>
      <c r="I54" s="5" t="n">
        <v>224.91</v>
      </c>
      <c r="J54" s="5" t="n">
        <v>215.47</v>
      </c>
      <c r="K54" s="5" t="n">
        <v>231.77</v>
      </c>
      <c r="L54" s="5" t="n">
        <v>203.77</v>
      </c>
      <c r="M54" s="5" t="n">
        <v>213.3</v>
      </c>
      <c r="N54" s="5" t="n">
        <v>236.59</v>
      </c>
      <c r="O54" s="5">
        <f>SUM(C52:N52)</f>
        <v/>
      </c>
      <c r="P54" s="5" t="n">
        <v>214.29</v>
      </c>
      <c r="Q54" s="5" t="n">
        <v>236.77</v>
      </c>
      <c r="R54" s="5" t="n">
        <v>257.19</v>
      </c>
      <c r="S54" s="5" t="n">
        <v>235.87</v>
      </c>
      <c r="T54" s="5" t="n">
        <v>245.05</v>
      </c>
      <c r="U54" s="5" t="n">
        <v>230.63</v>
      </c>
      <c r="V54" s="5" t="n">
        <v>215.51</v>
      </c>
      <c r="W54" s="5" t="n">
        <v>210.37</v>
      </c>
      <c r="X54" s="5">
        <f>SUM(P52:W52)</f>
        <v/>
      </c>
      <c r="Y54" s="5">
        <f>SUM(C52:J52)</f>
        <v/>
      </c>
      <c r="Z54" s="5">
        <f>X52-Y52</f>
        <v/>
      </c>
    </row>
    <row r="55">
      <c r="A55" s="2" t="inlineStr">
        <is>
          <t>320.100</t>
        </is>
      </c>
      <c r="B55" s="2" t="inlineStr">
        <is>
          <t>Consulenze notarili</t>
        </is>
      </c>
      <c r="C55" s="5" t="n">
        <v>172.32</v>
      </c>
      <c r="D55" s="5" t="n">
        <v>166.7</v>
      </c>
      <c r="E55" s="5" t="n">
        <v>161.16</v>
      </c>
      <c r="F55" s="5" t="n">
        <v>185.21</v>
      </c>
      <c r="G55" s="5" t="n">
        <v>177.34</v>
      </c>
      <c r="H55" s="5" t="n">
        <v>183.74</v>
      </c>
      <c r="I55" s="5" t="n">
        <v>175.14</v>
      </c>
      <c r="J55" s="5" t="n">
        <v>180.94</v>
      </c>
      <c r="K55" s="5" t="n">
        <v>177.51</v>
      </c>
      <c r="L55" s="5" t="n">
        <v>177.75</v>
      </c>
      <c r="M55" s="5" t="n">
        <v>174.12</v>
      </c>
      <c r="N55" s="5" t="n">
        <v>165.4</v>
      </c>
      <c r="O55" s="5">
        <f>SUM(C53:N53)</f>
        <v/>
      </c>
      <c r="P55" s="5" t="n">
        <v>165.68</v>
      </c>
      <c r="Q55" s="5" t="n">
        <v>166.25</v>
      </c>
      <c r="R55" s="5" t="n">
        <v>165.51</v>
      </c>
      <c r="S55" s="5" t="n">
        <v>179.4</v>
      </c>
      <c r="T55" s="5" t="n">
        <v>172.24</v>
      </c>
      <c r="U55" s="5" t="n">
        <v>188.94</v>
      </c>
      <c r="V55" s="5" t="n">
        <v>179.59</v>
      </c>
      <c r="W55" s="5" t="n">
        <v>190.26</v>
      </c>
      <c r="X55" s="5">
        <f>SUM(P53:W53)</f>
        <v/>
      </c>
      <c r="Y55" s="5">
        <f>SUM(C53:J53)</f>
        <v/>
      </c>
      <c r="Z55" s="5">
        <f>X53-Y53</f>
        <v/>
      </c>
    </row>
    <row r="56">
      <c r="A56" s="2" t="inlineStr">
        <is>
          <t>320.110</t>
        </is>
      </c>
      <c r="B56" s="2" t="inlineStr">
        <is>
          <t>Compensi a professionisti per sviluppo applicativo</t>
        </is>
      </c>
      <c r="C56" s="5" t="n">
        <v>2355.72</v>
      </c>
      <c r="D56" s="5" t="n">
        <v>2376.64</v>
      </c>
      <c r="E56" s="5" t="n">
        <v>2639.12</v>
      </c>
      <c r="F56" s="5" t="n">
        <v>2439.12</v>
      </c>
      <c r="G56" s="5" t="n">
        <v>2900.24</v>
      </c>
      <c r="H56" s="5" t="n">
        <v>2696.24</v>
      </c>
      <c r="I56" s="5" t="n">
        <v>2603.16</v>
      </c>
      <c r="J56" s="5" t="n">
        <v>1722.57</v>
      </c>
      <c r="K56" s="5" t="n">
        <v>2509.49</v>
      </c>
      <c r="L56" s="5" t="n">
        <v>3122.12</v>
      </c>
      <c r="M56" s="5" t="n">
        <v>2782.38</v>
      </c>
      <c r="N56" s="5" t="n">
        <v>3401.41</v>
      </c>
      <c r="O56" s="5">
        <f>SUM(C54:N54)</f>
        <v/>
      </c>
      <c r="P56" s="5" t="n">
        <v>2417.55</v>
      </c>
      <c r="Q56" s="5" t="n">
        <v>2497.9</v>
      </c>
      <c r="R56" s="5" t="n">
        <v>2761.43</v>
      </c>
      <c r="S56" s="5" t="n">
        <v>2483.62</v>
      </c>
      <c r="T56" s="5" t="n">
        <v>3025.5</v>
      </c>
      <c r="U56" s="5" t="n">
        <v>2813.38</v>
      </c>
      <c r="V56" s="5" t="n">
        <v>2484.83</v>
      </c>
      <c r="W56" s="5" t="n">
        <v>1796.16</v>
      </c>
      <c r="X56" s="5">
        <f>SUM(P54:W54)</f>
        <v/>
      </c>
      <c r="Y56" s="5">
        <f>SUM(C54:J54)</f>
        <v/>
      </c>
      <c r="Z56" s="5">
        <f>X54-Y54</f>
        <v/>
      </c>
    </row>
    <row r="57">
      <c r="A57" s="2" t="inlineStr">
        <is>
          <t>320.120</t>
        </is>
      </c>
      <c r="B57" s="2" t="inlineStr">
        <is>
          <t>Compensi a collaboratori esterni: sviluppo e test</t>
        </is>
      </c>
      <c r="C57" s="5" t="n">
        <v>1592.72</v>
      </c>
      <c r="D57" s="5" t="n">
        <v>1692.55</v>
      </c>
      <c r="E57" s="5" t="n">
        <v>1856.84</v>
      </c>
      <c r="F57" s="5" t="n">
        <v>1864.66</v>
      </c>
      <c r="G57" s="5" t="n">
        <v>2147.02</v>
      </c>
      <c r="H57" s="5" t="n">
        <v>2090.41</v>
      </c>
      <c r="I57" s="5" t="n">
        <v>1866.67</v>
      </c>
      <c r="J57" s="5" t="n">
        <v>1201.25</v>
      </c>
      <c r="K57" s="5" t="n">
        <v>1841.77</v>
      </c>
      <c r="L57" s="5" t="n">
        <v>2230.69</v>
      </c>
      <c r="M57" s="5" t="n">
        <v>2164.99</v>
      </c>
      <c r="N57" s="5" t="n">
        <v>2470.78</v>
      </c>
      <c r="O57" s="5">
        <f>SUM(C55:N55)</f>
        <v/>
      </c>
      <c r="P57" s="5" t="n">
        <v>1632.49</v>
      </c>
      <c r="Q57" s="5" t="n">
        <v>1648.86</v>
      </c>
      <c r="R57" s="5" t="n">
        <v>1909.82</v>
      </c>
      <c r="S57" s="5" t="n">
        <v>1951.21</v>
      </c>
      <c r="T57" s="5" t="n">
        <v>2088.13</v>
      </c>
      <c r="U57" s="5" t="n">
        <v>2091.71</v>
      </c>
      <c r="V57" s="5" t="n">
        <v>1782.44</v>
      </c>
      <c r="W57" s="5" t="n">
        <v>1277.44</v>
      </c>
      <c r="X57" s="5">
        <f>SUM(P55:W55)</f>
        <v/>
      </c>
      <c r="Y57" s="5">
        <f>SUM(C55:J55)</f>
        <v/>
      </c>
      <c r="Z57" s="5">
        <f>X55-Y55</f>
        <v/>
      </c>
    </row>
    <row r="58">
      <c r="A58" s="2" t="inlineStr">
        <is>
          <t>320.130</t>
        </is>
      </c>
      <c r="B58" s="2" t="inlineStr">
        <is>
          <t>Compensi a professionisti: traduzioni e redazione tecnica</t>
        </is>
      </c>
      <c r="C58" s="5" t="n">
        <v>584.13</v>
      </c>
      <c r="D58" s="5" t="n">
        <v>726.5700000000001</v>
      </c>
      <c r="E58" s="5" t="n">
        <v>771.04</v>
      </c>
      <c r="F58" s="5" t="n">
        <v>706.53</v>
      </c>
      <c r="G58" s="5" t="n">
        <v>897.95</v>
      </c>
      <c r="H58" s="5" t="n">
        <v>914.4</v>
      </c>
      <c r="I58" s="5" t="n">
        <v>837.45</v>
      </c>
      <c r="J58" s="5" t="n">
        <v>437.16</v>
      </c>
      <c r="K58" s="5" t="n">
        <v>759.1799999999999</v>
      </c>
      <c r="L58" s="5" t="n">
        <v>917.52</v>
      </c>
      <c r="M58" s="5" t="n">
        <v>750.01</v>
      </c>
      <c r="N58" s="5" t="n">
        <v>1005.21</v>
      </c>
      <c r="O58" s="5">
        <f>SUM(C56:N56)</f>
        <v/>
      </c>
      <c r="P58" s="5" t="n">
        <v>594.01</v>
      </c>
      <c r="Q58" s="5" t="n">
        <v>692.6799999999999</v>
      </c>
      <c r="R58" s="5" t="n">
        <v>752.66</v>
      </c>
      <c r="S58" s="5" t="n">
        <v>714.9400000000001</v>
      </c>
      <c r="T58" s="5" t="n">
        <v>897.38</v>
      </c>
      <c r="U58" s="5" t="n">
        <v>862.86</v>
      </c>
      <c r="V58" s="5" t="n">
        <v>817.55</v>
      </c>
      <c r="W58" s="5" t="n">
        <v>422.92</v>
      </c>
      <c r="X58" s="5">
        <f>SUM(P56:W56)</f>
        <v/>
      </c>
      <c r="Y58" s="5">
        <f>SUM(C56:J56)</f>
        <v/>
      </c>
      <c r="Z58" s="5">
        <f>X56-Y56</f>
        <v/>
      </c>
    </row>
    <row r="59">
      <c r="A59" s="2" t="inlineStr">
        <is>
          <t>320.140</t>
        </is>
      </c>
      <c r="B59" s="2" t="inlineStr">
        <is>
          <t>Prestazioni di lavoro autonomo occasionale</t>
        </is>
      </c>
      <c r="C59" s="5" t="n">
        <v>467.11</v>
      </c>
      <c r="D59" s="5" t="n">
        <v>500.5</v>
      </c>
      <c r="E59" s="5" t="n">
        <v>624.4400000000001</v>
      </c>
      <c r="F59" s="5" t="n">
        <v>554.4299999999999</v>
      </c>
      <c r="G59" s="5" t="n">
        <v>604.4400000000001</v>
      </c>
      <c r="H59" s="5" t="n">
        <v>643.0700000000001</v>
      </c>
      <c r="I59" s="5" t="n">
        <v>605.99</v>
      </c>
      <c r="J59" s="5" t="n">
        <v>372.35</v>
      </c>
      <c r="K59" s="5" t="n">
        <v>561.34</v>
      </c>
      <c r="L59" s="5" t="n">
        <v>627.16</v>
      </c>
      <c r="M59" s="5" t="n">
        <v>579.91</v>
      </c>
      <c r="N59" s="5" t="n">
        <v>699.92</v>
      </c>
      <c r="O59" s="5">
        <f>SUM(C57:N57)</f>
        <v/>
      </c>
      <c r="P59" s="5" t="n">
        <v>470.22</v>
      </c>
      <c r="Q59" s="5" t="n">
        <v>489.8</v>
      </c>
      <c r="R59" s="5" t="n">
        <v>662.0700000000001</v>
      </c>
      <c r="S59" s="5" t="n">
        <v>576.37</v>
      </c>
      <c r="T59" s="5" t="n">
        <v>626.09</v>
      </c>
      <c r="U59" s="5" t="n">
        <v>627.45</v>
      </c>
      <c r="V59" s="5" t="n">
        <v>640.98</v>
      </c>
      <c r="W59" s="5" t="n">
        <v>371.69</v>
      </c>
      <c r="X59" s="5">
        <f>SUM(P57:W57)</f>
        <v/>
      </c>
      <c r="Y59" s="5">
        <f>SUM(C57:J57)</f>
        <v/>
      </c>
      <c r="Z59" s="5">
        <f>X57-Y57</f>
        <v/>
      </c>
    </row>
    <row r="60">
      <c r="A60" s="2" t="inlineStr">
        <is>
          <t>320.150</t>
        </is>
      </c>
      <c r="B60" s="2" t="inlineStr">
        <is>
          <t>Licenze software: ambienti di sviluppo e strumenti di test</t>
        </is>
      </c>
      <c r="C60" s="5" t="n">
        <v>1372.8</v>
      </c>
      <c r="D60" s="5" t="n">
        <v>1315.78</v>
      </c>
      <c r="E60" s="5" t="n">
        <v>1341.59</v>
      </c>
      <c r="F60" s="5" t="n">
        <v>1404.53</v>
      </c>
      <c r="G60" s="5" t="n">
        <v>1485.58</v>
      </c>
      <c r="H60" s="5" t="n">
        <v>1441.02</v>
      </c>
      <c r="I60" s="5" t="n">
        <v>1480.74</v>
      </c>
      <c r="J60" s="5" t="n">
        <v>1304.51</v>
      </c>
      <c r="K60" s="5" t="n">
        <v>1499.1</v>
      </c>
      <c r="L60" s="5" t="n">
        <v>1351.26</v>
      </c>
      <c r="M60" s="5" t="n">
        <v>1555</v>
      </c>
      <c r="N60" s="5" t="n">
        <v>1665.33</v>
      </c>
      <c r="O60" s="5">
        <f>SUM(C58:N58)</f>
        <v/>
      </c>
      <c r="P60" s="5" t="n">
        <v>1396.64</v>
      </c>
      <c r="Q60" s="5" t="n">
        <v>1361.03</v>
      </c>
      <c r="R60" s="5" t="n">
        <v>1426.67</v>
      </c>
      <c r="S60" s="5" t="n">
        <v>1360.08</v>
      </c>
      <c r="T60" s="5" t="n">
        <v>1548.66</v>
      </c>
      <c r="U60" s="5" t="n">
        <v>1409.12</v>
      </c>
      <c r="V60" s="5" t="n">
        <v>1453.3</v>
      </c>
      <c r="W60" s="5" t="n">
        <v>1382.65</v>
      </c>
      <c r="X60" s="5">
        <f>SUM(P58:W58)</f>
        <v/>
      </c>
      <c r="Y60" s="5">
        <f>SUM(C58:J58)</f>
        <v/>
      </c>
      <c r="Z60" s="5">
        <f>X58-Y58</f>
        <v/>
      </c>
    </row>
    <row r="61">
      <c r="A61" s="2" t="inlineStr">
        <is>
          <t>320.160</t>
        </is>
      </c>
      <c r="B61" s="2" t="inlineStr">
        <is>
          <t>Servizi cloud: hosting e macchine virtuali</t>
        </is>
      </c>
      <c r="C61" s="5" t="n">
        <v>1204.9</v>
      </c>
      <c r="D61" s="5" t="n">
        <v>1169.15</v>
      </c>
      <c r="E61" s="5" t="n">
        <v>1247.57</v>
      </c>
      <c r="F61" s="5" t="n">
        <v>1164.11</v>
      </c>
      <c r="G61" s="5" t="n">
        <v>1367.74</v>
      </c>
      <c r="H61" s="5" t="n">
        <v>1196.71</v>
      </c>
      <c r="I61" s="5" t="n">
        <v>1292.61</v>
      </c>
      <c r="J61" s="5" t="n">
        <v>1278.42</v>
      </c>
      <c r="K61" s="5" t="n">
        <v>1222.7</v>
      </c>
      <c r="L61" s="5" t="n">
        <v>1373.75</v>
      </c>
      <c r="M61" s="5" t="n">
        <v>1361.98</v>
      </c>
      <c r="N61" s="5" t="n">
        <v>1438.39</v>
      </c>
      <c r="O61" s="5">
        <f>SUM(C59:N59)</f>
        <v/>
      </c>
      <c r="P61" s="5" t="n">
        <v>1253.66</v>
      </c>
      <c r="Q61" s="5" t="n">
        <v>1228.95</v>
      </c>
      <c r="R61" s="5" t="n">
        <v>1290.41</v>
      </c>
      <c r="S61" s="5" t="n">
        <v>1194.56</v>
      </c>
      <c r="T61" s="5" t="n">
        <v>1311.6</v>
      </c>
      <c r="U61" s="5" t="n">
        <v>1240.79</v>
      </c>
      <c r="V61" s="5" t="n">
        <v>1217.74</v>
      </c>
      <c r="W61" s="5" t="n">
        <v>1330.4</v>
      </c>
      <c r="X61" s="5">
        <f>SUM(P59:W59)</f>
        <v/>
      </c>
      <c r="Y61" s="5">
        <f>SUM(C59:J59)</f>
        <v/>
      </c>
      <c r="Z61" s="5">
        <f>X59-Y59</f>
        <v/>
      </c>
    </row>
    <row r="62">
      <c r="A62" s="2" t="inlineStr">
        <is>
          <t>320.170</t>
        </is>
      </c>
      <c r="B62" s="2" t="inlineStr">
        <is>
          <t>Servizi cloud: archiviazione e backup</t>
        </is>
      </c>
      <c r="C62" s="5" t="n">
        <v>579.48</v>
      </c>
      <c r="D62" s="5" t="n">
        <v>563.29</v>
      </c>
      <c r="E62" s="5" t="n">
        <v>543.04</v>
      </c>
      <c r="F62" s="5" t="n">
        <v>568.6</v>
      </c>
      <c r="G62" s="5" t="n">
        <v>562.85</v>
      </c>
      <c r="H62" s="5" t="n">
        <v>560.33</v>
      </c>
      <c r="I62" s="5" t="n">
        <v>554.88</v>
      </c>
      <c r="J62" s="5" t="n">
        <v>592.16</v>
      </c>
      <c r="K62" s="5" t="n">
        <v>577.65</v>
      </c>
      <c r="L62" s="5" t="n">
        <v>646.7</v>
      </c>
      <c r="M62" s="5" t="n">
        <v>604.3200000000001</v>
      </c>
      <c r="N62" s="5" t="n">
        <v>610.96</v>
      </c>
      <c r="O62" s="5">
        <f>SUM(C60:N60)</f>
        <v/>
      </c>
      <c r="P62" s="5" t="n">
        <v>593.8200000000001</v>
      </c>
      <c r="Q62" s="5" t="n">
        <v>541.13</v>
      </c>
      <c r="R62" s="5" t="n">
        <v>511.07</v>
      </c>
      <c r="S62" s="5" t="n">
        <v>564.98</v>
      </c>
      <c r="T62" s="5" t="n">
        <v>537.77</v>
      </c>
      <c r="U62" s="5" t="n">
        <v>564.05</v>
      </c>
      <c r="V62" s="5" t="n">
        <v>521.95</v>
      </c>
      <c r="W62" s="5" t="n">
        <v>603</v>
      </c>
      <c r="X62" s="5">
        <f>SUM(P60:W60)</f>
        <v/>
      </c>
      <c r="Y62" s="5">
        <f>SUM(C60:J60)</f>
        <v/>
      </c>
      <c r="Z62" s="5">
        <f>X60-Y60</f>
        <v/>
      </c>
    </row>
    <row r="63">
      <c r="A63" s="2" t="inlineStr">
        <is>
          <t>320.180</t>
        </is>
      </c>
      <c r="B63" s="2" t="inlineStr">
        <is>
          <t>Licenze software: collaborazione e comunicazione</t>
        </is>
      </c>
      <c r="C63" s="5" t="n">
        <v>669.8099999999999</v>
      </c>
      <c r="D63" s="5" t="n">
        <v>580.16</v>
      </c>
      <c r="E63" s="5" t="n">
        <v>679.34</v>
      </c>
      <c r="F63" s="5" t="n">
        <v>607.66</v>
      </c>
      <c r="G63" s="5" t="n">
        <v>682.5</v>
      </c>
      <c r="H63" s="5" t="n">
        <v>710.85</v>
      </c>
      <c r="I63" s="5" t="n">
        <v>681.15</v>
      </c>
      <c r="J63" s="5" t="n">
        <v>618.51</v>
      </c>
      <c r="K63" s="5" t="n">
        <v>631.59</v>
      </c>
      <c r="L63" s="5" t="n">
        <v>745.5</v>
      </c>
      <c r="M63" s="5" t="n">
        <v>737.5599999999999</v>
      </c>
      <c r="N63" s="5" t="n">
        <v>790.83</v>
      </c>
      <c r="O63" s="5">
        <f>SUM(C61:N61)</f>
        <v/>
      </c>
      <c r="P63" s="5" t="n">
        <v>667.75</v>
      </c>
      <c r="Q63" s="5" t="n">
        <v>619.87</v>
      </c>
      <c r="R63" s="5" t="n">
        <v>639.22</v>
      </c>
      <c r="S63" s="5" t="n">
        <v>637.27</v>
      </c>
      <c r="T63" s="5" t="n">
        <v>699.24</v>
      </c>
      <c r="U63" s="5" t="n">
        <v>695.95</v>
      </c>
      <c r="V63" s="5" t="n">
        <v>642.63</v>
      </c>
      <c r="W63" s="5" t="n">
        <v>610.8</v>
      </c>
      <c r="X63" s="5">
        <f>SUM(P61:W61)</f>
        <v/>
      </c>
      <c r="Y63" s="5">
        <f>SUM(C61:J61)</f>
        <v/>
      </c>
      <c r="Z63" s="5">
        <f>X61-Y61</f>
        <v/>
      </c>
    </row>
    <row r="64">
      <c r="A64" s="2" t="inlineStr">
        <is>
          <t>320.190</t>
        </is>
      </c>
      <c r="B64" s="2" t="inlineStr">
        <is>
          <t>Servizi cloud: database gestiti e monitoraggio</t>
        </is>
      </c>
      <c r="C64" s="5" t="n">
        <v>891.09</v>
      </c>
      <c r="D64" s="5" t="n">
        <v>940.6</v>
      </c>
      <c r="E64" s="5" t="n">
        <v>911.74</v>
      </c>
      <c r="F64" s="5" t="n">
        <v>916.86</v>
      </c>
      <c r="G64" s="5" t="n">
        <v>933.75</v>
      </c>
      <c r="H64" s="5" t="n">
        <v>874.36</v>
      </c>
      <c r="I64" s="5" t="n">
        <v>992.39</v>
      </c>
      <c r="J64" s="5" t="n">
        <v>879.21</v>
      </c>
      <c r="K64" s="5" t="n">
        <v>999.38</v>
      </c>
      <c r="L64" s="5" t="n">
        <v>959.6</v>
      </c>
      <c r="M64" s="5" t="n">
        <v>1026.35</v>
      </c>
      <c r="N64" s="5" t="n">
        <v>1090.49</v>
      </c>
      <c r="O64" s="5">
        <f>SUM(C62:N62)</f>
        <v/>
      </c>
      <c r="P64" s="5" t="n">
        <v>853.49</v>
      </c>
      <c r="Q64" s="5" t="n">
        <v>941.67</v>
      </c>
      <c r="R64" s="5" t="n">
        <v>932.7</v>
      </c>
      <c r="S64" s="5" t="n">
        <v>862.58</v>
      </c>
      <c r="T64" s="5" t="n">
        <v>980.13</v>
      </c>
      <c r="U64" s="5" t="n">
        <v>823.17</v>
      </c>
      <c r="V64" s="5" t="n">
        <v>965.73</v>
      </c>
      <c r="W64" s="5" t="n">
        <v>890.86</v>
      </c>
      <c r="X64" s="5">
        <f>SUM(P62:W62)</f>
        <v/>
      </c>
      <c r="Y64" s="5">
        <f>SUM(C62:J62)</f>
        <v/>
      </c>
      <c r="Z64" s="5">
        <f>X62-Y62</f>
        <v/>
      </c>
    </row>
    <row r="65">
      <c r="A65" s="2" t="inlineStr">
        <is>
          <t>320.200</t>
        </is>
      </c>
      <c r="B65" s="2" t="inlineStr">
        <is>
          <t>Licenze software: sicurezza, antivirus e gestione accessi</t>
        </is>
      </c>
      <c r="C65" s="5" t="n">
        <v>406.92</v>
      </c>
      <c r="D65" s="5" t="n">
        <v>433.09</v>
      </c>
      <c r="E65" s="5" t="n">
        <v>411.83</v>
      </c>
      <c r="F65" s="5" t="n">
        <v>400.15</v>
      </c>
      <c r="G65" s="5" t="n">
        <v>471.92</v>
      </c>
      <c r="H65" s="5" t="n">
        <v>425.69</v>
      </c>
      <c r="I65" s="5" t="n">
        <v>429.65</v>
      </c>
      <c r="J65" s="5" t="n">
        <v>414.89</v>
      </c>
      <c r="K65" s="5" t="n">
        <v>484.3</v>
      </c>
      <c r="L65" s="5" t="n">
        <v>486.47</v>
      </c>
      <c r="M65" s="5" t="n">
        <v>503.88</v>
      </c>
      <c r="N65" s="5" t="n">
        <v>457.67</v>
      </c>
      <c r="O65" s="5">
        <f>SUM(C63:N63)</f>
        <v/>
      </c>
      <c r="P65" s="5" t="n">
        <v>400.88</v>
      </c>
      <c r="Q65" s="5" t="n">
        <v>448.95</v>
      </c>
      <c r="R65" s="5" t="n">
        <v>409.41</v>
      </c>
      <c r="S65" s="5" t="n">
        <v>396.92</v>
      </c>
      <c r="T65" s="5" t="n">
        <v>452.57</v>
      </c>
      <c r="U65" s="5" t="n">
        <v>445.26</v>
      </c>
      <c r="V65" s="5" t="n">
        <v>447.48</v>
      </c>
      <c r="W65" s="5" t="n">
        <v>403.58</v>
      </c>
      <c r="X65" s="5">
        <f>SUM(P63:W63)</f>
        <v/>
      </c>
      <c r="Y65" s="5">
        <f>SUM(C63:J63)</f>
        <v/>
      </c>
      <c r="Z65" s="5">
        <f>X63-Y63</f>
        <v/>
      </c>
    </row>
    <row r="66">
      <c r="A66" s="2" t="inlineStr">
        <is>
          <t>320.210</t>
        </is>
      </c>
      <c r="B66" s="2" t="inlineStr">
        <is>
          <t>Energia elettrica sede e unità locale</t>
        </is>
      </c>
      <c r="C66" s="5" t="n">
        <v>787.64</v>
      </c>
      <c r="D66" s="5" t="n">
        <v>814.72</v>
      </c>
      <c r="E66" s="5" t="n">
        <v>609.05</v>
      </c>
      <c r="F66" s="5" t="n">
        <v>512.84</v>
      </c>
      <c r="G66" s="5" t="n">
        <v>430.36</v>
      </c>
      <c r="H66" s="5" t="n">
        <v>385.24</v>
      </c>
      <c r="I66" s="5" t="n">
        <v>444.79</v>
      </c>
      <c r="J66" s="5" t="n">
        <v>345.72</v>
      </c>
      <c r="K66" s="5" t="n">
        <v>399.81</v>
      </c>
      <c r="L66" s="5" t="n">
        <v>580.13</v>
      </c>
      <c r="M66" s="5" t="n">
        <v>735.05</v>
      </c>
      <c r="N66" s="5" t="n">
        <v>854.0700000000001</v>
      </c>
      <c r="O66" s="5">
        <f>SUM(C64:N64)</f>
        <v/>
      </c>
      <c r="P66" s="5" t="n">
        <v>795.03</v>
      </c>
      <c r="Q66" s="5" t="n">
        <v>820.48</v>
      </c>
      <c r="R66" s="5" t="n">
        <v>622.23</v>
      </c>
      <c r="S66" s="5" t="n">
        <v>482.76</v>
      </c>
      <c r="T66" s="5" t="n">
        <v>441.27</v>
      </c>
      <c r="U66" s="5" t="n">
        <v>400.1</v>
      </c>
      <c r="V66" s="5" t="n">
        <v>465.9</v>
      </c>
      <c r="W66" s="5" t="n">
        <v>337.77</v>
      </c>
      <c r="X66" s="5">
        <f>SUM(P64:W64)</f>
        <v/>
      </c>
      <c r="Y66" s="5">
        <f>SUM(C64:J64)</f>
        <v/>
      </c>
      <c r="Z66" s="5">
        <f>X64-Y64</f>
        <v/>
      </c>
    </row>
    <row r="67">
      <c r="A67" s="2" t="inlineStr">
        <is>
          <t>320.220</t>
        </is>
      </c>
      <c r="B67" s="2" t="inlineStr">
        <is>
          <t>Riscaldamento e gas per uffici</t>
        </is>
      </c>
      <c r="C67" s="5" t="n">
        <v>600.41</v>
      </c>
      <c r="D67" s="5" t="n">
        <v>617.41</v>
      </c>
      <c r="E67" s="5" t="n">
        <v>437.51</v>
      </c>
      <c r="F67" s="5" t="n">
        <v>368.81</v>
      </c>
      <c r="G67" s="5" t="n">
        <v>271.91</v>
      </c>
      <c r="H67" s="5" t="n">
        <v>273.3</v>
      </c>
      <c r="I67" s="5" t="n">
        <v>312.03</v>
      </c>
      <c r="J67" s="5" t="n">
        <v>234.5</v>
      </c>
      <c r="K67" s="5" t="n">
        <v>324.24</v>
      </c>
      <c r="L67" s="5" t="n">
        <v>383.4</v>
      </c>
      <c r="M67" s="5" t="n">
        <v>561.03</v>
      </c>
      <c r="N67" s="5" t="n">
        <v>612.15</v>
      </c>
      <c r="O67" s="5">
        <f>SUM(C65:N65)</f>
        <v/>
      </c>
      <c r="P67" s="5" t="n">
        <v>573.27</v>
      </c>
      <c r="Q67" s="5" t="n">
        <v>631.3099999999999</v>
      </c>
      <c r="R67" s="5" t="n">
        <v>453.28</v>
      </c>
      <c r="S67" s="5" t="n">
        <v>359.57</v>
      </c>
      <c r="T67" s="5" t="n">
        <v>262.09</v>
      </c>
      <c r="U67" s="5" t="n">
        <v>268.15</v>
      </c>
      <c r="V67" s="5" t="n">
        <v>314.75</v>
      </c>
      <c r="W67" s="5" t="n">
        <v>250.02</v>
      </c>
      <c r="X67" s="5">
        <f>SUM(P65:W65)</f>
        <v/>
      </c>
      <c r="Y67" s="5">
        <f>SUM(C65:J65)</f>
        <v/>
      </c>
      <c r="Z67" s="5">
        <f>X65-Y65</f>
        <v/>
      </c>
    </row>
    <row r="68">
      <c r="A68" s="2" t="inlineStr">
        <is>
          <t>320.230</t>
        </is>
      </c>
      <c r="B68" s="2" t="inlineStr">
        <is>
          <t>Acqua e servizi idrici</t>
        </is>
      </c>
      <c r="C68" s="5" t="n">
        <v>498.4</v>
      </c>
      <c r="D68" s="5" t="n">
        <v>442.68</v>
      </c>
      <c r="E68" s="5" t="n">
        <v>355.09</v>
      </c>
      <c r="F68" s="5" t="n">
        <v>304.26</v>
      </c>
      <c r="G68" s="5" t="n">
        <v>208.7</v>
      </c>
      <c r="H68" s="5" t="n">
        <v>196</v>
      </c>
      <c r="I68" s="5" t="n">
        <v>228.63</v>
      </c>
      <c r="J68" s="5" t="n">
        <v>186.7</v>
      </c>
      <c r="K68" s="5" t="n">
        <v>216.77</v>
      </c>
      <c r="L68" s="5" t="n">
        <v>282.79</v>
      </c>
      <c r="M68" s="5" t="n">
        <v>371.8</v>
      </c>
      <c r="N68" s="5" t="n">
        <v>470.56</v>
      </c>
      <c r="O68" s="5">
        <f>SUM(C66:N66)</f>
        <v/>
      </c>
      <c r="P68" s="5" t="n">
        <v>473.22</v>
      </c>
      <c r="Q68" s="5" t="n">
        <v>443.92</v>
      </c>
      <c r="R68" s="5" t="n">
        <v>347.85</v>
      </c>
      <c r="S68" s="5" t="n">
        <v>287.58</v>
      </c>
      <c r="T68" s="5" t="n">
        <v>205.61</v>
      </c>
      <c r="U68" s="5" t="n">
        <v>189.38</v>
      </c>
      <c r="V68" s="5" t="n">
        <v>226.51</v>
      </c>
      <c r="W68" s="5" t="n">
        <v>175.59</v>
      </c>
      <c r="X68" s="5">
        <f>SUM(P66:W66)</f>
        <v/>
      </c>
      <c r="Y68" s="5">
        <f>SUM(C66:J66)</f>
        <v/>
      </c>
      <c r="Z68" s="5">
        <f>X66-Y66</f>
        <v/>
      </c>
    </row>
    <row r="69">
      <c r="A69" s="2" t="inlineStr">
        <is>
          <t>320.240</t>
        </is>
      </c>
      <c r="B69" s="2" t="inlineStr">
        <is>
          <t>Spese telefoniche fisse e mobili</t>
        </is>
      </c>
      <c r="C69" s="5" t="n">
        <v>356.83</v>
      </c>
      <c r="D69" s="5" t="n">
        <v>326.92</v>
      </c>
      <c r="E69" s="5" t="n">
        <v>356.9</v>
      </c>
      <c r="F69" s="5" t="n">
        <v>358.59</v>
      </c>
      <c r="G69" s="5" t="n">
        <v>358.87</v>
      </c>
      <c r="H69" s="5" t="n">
        <v>380.68</v>
      </c>
      <c r="I69" s="5" t="n">
        <v>329.48</v>
      </c>
      <c r="J69" s="5" t="n">
        <v>379.37</v>
      </c>
      <c r="K69" s="5" t="n">
        <v>349.39</v>
      </c>
      <c r="L69" s="5" t="n">
        <v>330.19</v>
      </c>
      <c r="M69" s="5" t="n">
        <v>333.34</v>
      </c>
      <c r="N69" s="5" t="n">
        <v>363.91</v>
      </c>
      <c r="O69" s="5">
        <f>SUM(C67:N67)</f>
        <v/>
      </c>
      <c r="P69" s="5" t="n">
        <v>379.69</v>
      </c>
      <c r="Q69" s="5" t="n">
        <v>330.9</v>
      </c>
      <c r="R69" s="5" t="n">
        <v>341.94</v>
      </c>
      <c r="S69" s="5" t="n">
        <v>353.75</v>
      </c>
      <c r="T69" s="5" t="n">
        <v>345.92</v>
      </c>
      <c r="U69" s="5" t="n">
        <v>397.42</v>
      </c>
      <c r="V69" s="5" t="n">
        <v>327.84</v>
      </c>
      <c r="W69" s="5" t="n">
        <v>382.93</v>
      </c>
      <c r="X69" s="5">
        <f>SUM(P67:W67)</f>
        <v/>
      </c>
      <c r="Y69" s="5">
        <f>SUM(C67:J67)</f>
        <v/>
      </c>
      <c r="Z69" s="5">
        <f>X67-Y67</f>
        <v/>
      </c>
    </row>
    <row r="70">
      <c r="A70" s="2" t="inlineStr">
        <is>
          <t>320.250</t>
        </is>
      </c>
      <c r="B70" s="2" t="inlineStr">
        <is>
          <t>Connettività: fibra e linee dati (spese telefoniche)</t>
        </is>
      </c>
      <c r="C70" s="5" t="n">
        <v>385.99</v>
      </c>
      <c r="D70" s="5" t="n">
        <v>380.66</v>
      </c>
      <c r="E70" s="5" t="n">
        <v>360.1</v>
      </c>
      <c r="F70" s="5" t="n">
        <v>403.17</v>
      </c>
      <c r="G70" s="5" t="n">
        <v>373.94</v>
      </c>
      <c r="H70" s="5" t="n">
        <v>396.11</v>
      </c>
      <c r="I70" s="5" t="n">
        <v>383.66</v>
      </c>
      <c r="J70" s="5" t="n">
        <v>409.78</v>
      </c>
      <c r="K70" s="5" t="n">
        <v>367.4</v>
      </c>
      <c r="L70" s="5" t="n">
        <v>386.44</v>
      </c>
      <c r="M70" s="5" t="n">
        <v>420.46</v>
      </c>
      <c r="N70" s="5" t="n">
        <v>361.69</v>
      </c>
      <c r="O70" s="5">
        <f>SUM(C68:N68)</f>
        <v/>
      </c>
      <c r="P70" s="5" t="n">
        <v>406.4</v>
      </c>
      <c r="Q70" s="5" t="n">
        <v>390.77</v>
      </c>
      <c r="R70" s="5" t="n">
        <v>340.1</v>
      </c>
      <c r="S70" s="5" t="n">
        <v>394.19</v>
      </c>
      <c r="T70" s="5" t="n">
        <v>371.11</v>
      </c>
      <c r="U70" s="5" t="n">
        <v>417.16</v>
      </c>
      <c r="V70" s="5" t="n">
        <v>361.02</v>
      </c>
      <c r="W70" s="5" t="n">
        <v>388.05</v>
      </c>
      <c r="X70" s="5">
        <f>SUM(P68:W68)</f>
        <v/>
      </c>
      <c r="Y70" s="5">
        <f>SUM(C68:J68)</f>
        <v/>
      </c>
      <c r="Z70" s="5">
        <f>X68-Y68</f>
        <v/>
      </c>
    </row>
    <row r="71">
      <c r="A71" s="2" t="inlineStr">
        <is>
          <t>320.260</t>
        </is>
      </c>
      <c r="B71" s="2" t="inlineStr">
        <is>
          <t>Spese telefoniche: roaming e servizi voce in rete</t>
        </is>
      </c>
      <c r="C71" s="5" t="n">
        <v>139.5</v>
      </c>
      <c r="D71" s="5" t="n">
        <v>131.04</v>
      </c>
      <c r="E71" s="5" t="n">
        <v>137.83</v>
      </c>
      <c r="F71" s="5" t="n">
        <v>145.11</v>
      </c>
      <c r="G71" s="5" t="n">
        <v>137.03</v>
      </c>
      <c r="H71" s="5" t="n">
        <v>133.57</v>
      </c>
      <c r="I71" s="5" t="n">
        <v>131.38</v>
      </c>
      <c r="J71" s="5" t="n">
        <v>153.34</v>
      </c>
      <c r="K71" s="5" t="n">
        <v>154.63</v>
      </c>
      <c r="L71" s="5" t="n">
        <v>136.14</v>
      </c>
      <c r="M71" s="5" t="n">
        <v>138.65</v>
      </c>
      <c r="N71" s="5" t="n">
        <v>138.68</v>
      </c>
      <c r="O71" s="5">
        <f>SUM(C69:N69)</f>
        <v/>
      </c>
      <c r="P71" s="5" t="n">
        <v>135.09</v>
      </c>
      <c r="Q71" s="5" t="n">
        <v>131.3</v>
      </c>
      <c r="R71" s="5" t="n">
        <v>133.73</v>
      </c>
      <c r="S71" s="5" t="n">
        <v>137.25</v>
      </c>
      <c r="T71" s="5" t="n">
        <v>133.02</v>
      </c>
      <c r="U71" s="5" t="n">
        <v>138.78</v>
      </c>
      <c r="V71" s="5" t="n">
        <v>136.74</v>
      </c>
      <c r="W71" s="5" t="n">
        <v>153.1</v>
      </c>
      <c r="X71" s="5">
        <f>SUM(P69:W69)</f>
        <v/>
      </c>
      <c r="Y71" s="5">
        <f>SUM(C69:J69)</f>
        <v/>
      </c>
      <c r="Z71" s="5">
        <f>X69-Y69</f>
        <v/>
      </c>
    </row>
    <row r="72">
      <c r="A72" s="2" t="inlineStr">
        <is>
          <t>320.270</t>
        </is>
      </c>
      <c r="B72" s="2" t="inlineStr">
        <is>
          <t>Assicurazioni responsabilità civile professionale</t>
        </is>
      </c>
      <c r="C72" s="5" t="n">
        <v>1816.59</v>
      </c>
      <c r="D72" s="5" t="n">
        <v>196.42</v>
      </c>
      <c r="E72" s="5" t="n">
        <v>187.86</v>
      </c>
      <c r="F72" s="5" t="n">
        <v>191.22</v>
      </c>
      <c r="G72" s="5" t="n">
        <v>169.42</v>
      </c>
      <c r="H72" s="5" t="n">
        <v>194.24</v>
      </c>
      <c r="I72" s="5" t="n">
        <v>1441.66</v>
      </c>
      <c r="J72" s="5" t="n">
        <v>171.69</v>
      </c>
      <c r="K72" s="5" t="n">
        <v>195.31</v>
      </c>
      <c r="L72" s="5" t="n">
        <v>196.14</v>
      </c>
      <c r="M72" s="5" t="n">
        <v>194.4</v>
      </c>
      <c r="N72" s="5" t="n">
        <v>190</v>
      </c>
      <c r="O72" s="5">
        <f>SUM(C70:N70)</f>
        <v/>
      </c>
      <c r="P72" s="5" t="n">
        <v>1836.23</v>
      </c>
      <c r="Q72" s="5" t="n">
        <v>193.78</v>
      </c>
      <c r="R72" s="5" t="n">
        <v>187.49</v>
      </c>
      <c r="S72" s="5" t="n">
        <v>202.36</v>
      </c>
      <c r="T72" s="5" t="n">
        <v>159.3</v>
      </c>
      <c r="U72" s="5" t="n">
        <v>199.44</v>
      </c>
      <c r="V72" s="5" t="n">
        <v>1434.69</v>
      </c>
      <c r="W72" s="5" t="n">
        <v>169.39</v>
      </c>
      <c r="X72" s="5">
        <f>SUM(P70:W70)</f>
        <v/>
      </c>
      <c r="Y72" s="5">
        <f>SUM(C70:J70)</f>
        <v/>
      </c>
      <c r="Z72" s="5">
        <f>X70-Y70</f>
        <v/>
      </c>
    </row>
    <row r="73">
      <c r="A73" s="2" t="inlineStr">
        <is>
          <t>320.280</t>
        </is>
      </c>
      <c r="B73" s="2" t="inlineStr">
        <is>
          <t>Assicurazioni cyber risk</t>
        </is>
      </c>
      <c r="C73" s="5" t="n">
        <v>832.05</v>
      </c>
      <c r="D73" s="5" t="n">
        <v>96.22</v>
      </c>
      <c r="E73" s="5" t="n">
        <v>98.86</v>
      </c>
      <c r="F73" s="5" t="n">
        <v>87.22</v>
      </c>
      <c r="G73" s="5" t="n">
        <v>88.44</v>
      </c>
      <c r="H73" s="5" t="n">
        <v>91.39</v>
      </c>
      <c r="I73" s="5" t="n">
        <v>636.89</v>
      </c>
      <c r="J73" s="5" t="n">
        <v>87.81</v>
      </c>
      <c r="K73" s="5" t="n">
        <v>93.08</v>
      </c>
      <c r="L73" s="5" t="n">
        <v>91.02</v>
      </c>
      <c r="M73" s="5" t="n">
        <v>95.86</v>
      </c>
      <c r="N73" s="5" t="n">
        <v>84.17</v>
      </c>
      <c r="O73" s="5">
        <f>SUM(C71:N71)</f>
        <v/>
      </c>
      <c r="P73" s="5" t="n">
        <v>822.11</v>
      </c>
      <c r="Q73" s="5" t="n">
        <v>95.45</v>
      </c>
      <c r="R73" s="5" t="n">
        <v>95.98999999999999</v>
      </c>
      <c r="S73" s="5" t="n">
        <v>90.81</v>
      </c>
      <c r="T73" s="5" t="n">
        <v>94.34999999999999</v>
      </c>
      <c r="U73" s="5" t="n">
        <v>91.34999999999999</v>
      </c>
      <c r="V73" s="5" t="n">
        <v>617.29</v>
      </c>
      <c r="W73" s="5" t="n">
        <v>83.38</v>
      </c>
      <c r="X73" s="5">
        <f>SUM(P71:W71)</f>
        <v/>
      </c>
      <c r="Y73" s="5">
        <f>SUM(C71:J71)</f>
        <v/>
      </c>
      <c r="Z73" s="5">
        <f>X71-Y71</f>
        <v/>
      </c>
    </row>
    <row r="74">
      <c r="A74" s="2" t="inlineStr">
        <is>
          <t>320.290</t>
        </is>
      </c>
      <c r="B74" s="2" t="inlineStr">
        <is>
          <t>Assicurazioni incendio e furto della sede</t>
        </is>
      </c>
      <c r="C74" s="5" t="n">
        <v>513.59</v>
      </c>
      <c r="D74" s="5" t="n">
        <v>55.74</v>
      </c>
      <c r="E74" s="5" t="n">
        <v>57.7</v>
      </c>
      <c r="F74" s="5" t="n">
        <v>56.32</v>
      </c>
      <c r="G74" s="5" t="n">
        <v>56.25</v>
      </c>
      <c r="H74" s="5" t="n">
        <v>60.6</v>
      </c>
      <c r="I74" s="5" t="n">
        <v>461.61</v>
      </c>
      <c r="J74" s="5" t="n">
        <v>59.39</v>
      </c>
      <c r="K74" s="5" t="n">
        <v>58.62</v>
      </c>
      <c r="L74" s="5" t="n">
        <v>55.19</v>
      </c>
      <c r="M74" s="5" t="n">
        <v>59.07</v>
      </c>
      <c r="N74" s="5" t="n">
        <v>59.86</v>
      </c>
      <c r="O74" s="5">
        <f>SUM(C72:N72)</f>
        <v/>
      </c>
      <c r="P74" s="5" t="n">
        <v>532.9400000000001</v>
      </c>
      <c r="Q74" s="5" t="n">
        <v>58.83</v>
      </c>
      <c r="R74" s="5" t="n">
        <v>56.29</v>
      </c>
      <c r="S74" s="5" t="n">
        <v>54.42</v>
      </c>
      <c r="T74" s="5" t="n">
        <v>53.69</v>
      </c>
      <c r="U74" s="5" t="n">
        <v>61.56</v>
      </c>
      <c r="V74" s="5" t="n">
        <v>463.19</v>
      </c>
      <c r="W74" s="5" t="n">
        <v>56.5</v>
      </c>
      <c r="X74" s="5">
        <f>SUM(P72:W72)</f>
        <v/>
      </c>
      <c r="Y74" s="5">
        <f>SUM(C72:J72)</f>
        <v/>
      </c>
      <c r="Z74" s="5">
        <f>X72-Y72</f>
        <v/>
      </c>
    </row>
    <row r="75">
      <c r="A75" s="2" t="inlineStr">
        <is>
          <t>320.300</t>
        </is>
      </c>
      <c r="B75" s="2" t="inlineStr">
        <is>
          <t>Assicurazioni autovetture aziendali</t>
        </is>
      </c>
      <c r="C75" s="5" t="n">
        <v>981.16</v>
      </c>
      <c r="D75" s="5" t="n">
        <v>99.48999999999999</v>
      </c>
      <c r="E75" s="5" t="n">
        <v>113.71</v>
      </c>
      <c r="F75" s="5" t="n">
        <v>114.31</v>
      </c>
      <c r="G75" s="5" t="n">
        <v>112.5</v>
      </c>
      <c r="H75" s="5" t="n">
        <v>109.99</v>
      </c>
      <c r="I75" s="5" t="n">
        <v>746.13</v>
      </c>
      <c r="J75" s="5" t="n">
        <v>104.42</v>
      </c>
      <c r="K75" s="5" t="n">
        <v>96.18000000000001</v>
      </c>
      <c r="L75" s="5" t="n">
        <v>112.73</v>
      </c>
      <c r="M75" s="5" t="n">
        <v>114.72</v>
      </c>
      <c r="N75" s="5" t="n">
        <v>105.59</v>
      </c>
      <c r="O75" s="5">
        <f>SUM(C73:N73)</f>
        <v/>
      </c>
      <c r="P75" s="5" t="n">
        <v>1046.97</v>
      </c>
      <c r="Q75" s="5" t="n">
        <v>105.44</v>
      </c>
      <c r="R75" s="5" t="n">
        <v>118.8</v>
      </c>
      <c r="S75" s="5" t="n">
        <v>116.13</v>
      </c>
      <c r="T75" s="5" t="n">
        <v>114.16</v>
      </c>
      <c r="U75" s="5" t="n">
        <v>112.88</v>
      </c>
      <c r="V75" s="5" t="n">
        <v>755.47</v>
      </c>
      <c r="W75" s="5" t="n">
        <v>102.97</v>
      </c>
      <c r="X75" s="5">
        <f>SUM(P73:W73)</f>
        <v/>
      </c>
      <c r="Y75" s="5">
        <f>SUM(C73:J73)</f>
        <v/>
      </c>
      <c r="Z75" s="5">
        <f>X73-Y73</f>
        <v/>
      </c>
    </row>
    <row r="76">
      <c r="A76" s="2" t="inlineStr">
        <is>
          <t>320.310</t>
        </is>
      </c>
      <c r="B76" s="2" t="inlineStr">
        <is>
          <t>Assicurazioni infortuni dei dipendenti</t>
        </is>
      </c>
      <c r="C76" s="5" t="n">
        <v>440.79</v>
      </c>
      <c r="D76" s="5" t="n">
        <v>43.37</v>
      </c>
      <c r="E76" s="5" t="n">
        <v>49.82</v>
      </c>
      <c r="F76" s="5" t="n">
        <v>45.82</v>
      </c>
      <c r="G76" s="5" t="n">
        <v>41.87</v>
      </c>
      <c r="H76" s="5" t="n">
        <v>47.21</v>
      </c>
      <c r="I76" s="5" t="n">
        <v>323.65</v>
      </c>
      <c r="J76" s="5" t="n">
        <v>46.5</v>
      </c>
      <c r="K76" s="5" t="n">
        <v>43.42</v>
      </c>
      <c r="L76" s="5" t="n">
        <v>49.48</v>
      </c>
      <c r="M76" s="5" t="n">
        <v>50.21</v>
      </c>
      <c r="N76" s="5" t="n">
        <v>43.12</v>
      </c>
      <c r="O76" s="5">
        <f>SUM(C74:N74)</f>
        <v/>
      </c>
      <c r="P76" s="5" t="n">
        <v>419.01</v>
      </c>
      <c r="Q76" s="5" t="n">
        <v>45.65</v>
      </c>
      <c r="R76" s="5" t="n">
        <v>49.6</v>
      </c>
      <c r="S76" s="5" t="n">
        <v>48.02</v>
      </c>
      <c r="T76" s="5" t="n">
        <v>44.08</v>
      </c>
      <c r="U76" s="5" t="n">
        <v>47.73</v>
      </c>
      <c r="V76" s="5" t="n">
        <v>342.3</v>
      </c>
      <c r="W76" s="5" t="n">
        <v>46.43</v>
      </c>
      <c r="X76" s="5">
        <f>SUM(P74:W74)</f>
        <v/>
      </c>
      <c r="Y76" s="5">
        <f>SUM(C74:J74)</f>
        <v/>
      </c>
      <c r="Z76" s="5">
        <f>X74-Y74</f>
        <v/>
      </c>
    </row>
    <row r="77">
      <c r="A77" s="2" t="inlineStr">
        <is>
          <t>320.320</t>
        </is>
      </c>
      <c r="B77" s="2" t="inlineStr">
        <is>
          <t>Pubblicità online: motori di ricerca e social</t>
        </is>
      </c>
      <c r="C77" s="5" t="n">
        <v>635.26</v>
      </c>
      <c r="D77" s="5" t="n">
        <v>1020.26</v>
      </c>
      <c r="E77" s="5" t="n">
        <v>2113.27</v>
      </c>
      <c r="F77" s="5" t="n">
        <v>1994.38</v>
      </c>
      <c r="G77" s="5" t="n">
        <v>1917.76</v>
      </c>
      <c r="H77" s="5" t="n">
        <v>1078.08</v>
      </c>
      <c r="I77" s="5" t="n">
        <v>638.15</v>
      </c>
      <c r="J77" s="5" t="n">
        <v>267.37</v>
      </c>
      <c r="K77" s="5" t="n">
        <v>1783.25</v>
      </c>
      <c r="L77" s="5" t="n">
        <v>2209.08</v>
      </c>
      <c r="M77" s="5" t="n">
        <v>1581.76</v>
      </c>
      <c r="N77" s="5" t="n">
        <v>949.12</v>
      </c>
      <c r="O77" s="5">
        <f>SUM(C75:N75)</f>
        <v/>
      </c>
      <c r="P77" s="5" t="n">
        <v>666.3200000000001</v>
      </c>
      <c r="Q77" s="5" t="n">
        <v>1071.71</v>
      </c>
      <c r="R77" s="5" t="n">
        <v>2020.67</v>
      </c>
      <c r="S77" s="5" t="n">
        <v>2093.16</v>
      </c>
      <c r="T77" s="5" t="n">
        <v>1947.54</v>
      </c>
      <c r="U77" s="5" t="n">
        <v>1031.43</v>
      </c>
      <c r="V77" s="5" t="n">
        <v>663.03</v>
      </c>
      <c r="W77" s="5" t="n">
        <v>270.86</v>
      </c>
      <c r="X77" s="5">
        <f>SUM(P75:W75)</f>
        <v/>
      </c>
      <c r="Y77" s="5">
        <f>SUM(C75:J75)</f>
        <v/>
      </c>
      <c r="Z77" s="5">
        <f>X75-Y75</f>
        <v/>
      </c>
    </row>
    <row r="78">
      <c r="A78" s="2" t="inlineStr">
        <is>
          <t>320.330</t>
        </is>
      </c>
      <c r="B78" s="2" t="inlineStr">
        <is>
          <t>Marketing: eventi e webinar</t>
        </is>
      </c>
      <c r="C78" s="5" t="n">
        <v>316.88</v>
      </c>
      <c r="D78" s="5" t="n">
        <v>563.11</v>
      </c>
      <c r="E78" s="5" t="n">
        <v>1041.21</v>
      </c>
      <c r="F78" s="5" t="n">
        <v>1007.3</v>
      </c>
      <c r="G78" s="5" t="n">
        <v>928.73</v>
      </c>
      <c r="H78" s="5" t="n">
        <v>648.59</v>
      </c>
      <c r="I78" s="5" t="n">
        <v>334.36</v>
      </c>
      <c r="J78" s="5" t="n">
        <v>148.46</v>
      </c>
      <c r="K78" s="5" t="n">
        <v>1016.96</v>
      </c>
      <c r="L78" s="5" t="n">
        <v>1172.95</v>
      </c>
      <c r="M78" s="5" t="n">
        <v>960.67</v>
      </c>
      <c r="N78" s="5" t="n">
        <v>453.32</v>
      </c>
      <c r="O78" s="5">
        <f>SUM(C76:N76)</f>
        <v/>
      </c>
      <c r="P78" s="5" t="n">
        <v>314.53</v>
      </c>
      <c r="Q78" s="5" t="n">
        <v>585.9400000000001</v>
      </c>
      <c r="R78" s="5" t="n">
        <v>1067.68</v>
      </c>
      <c r="S78" s="5" t="n">
        <v>950.41</v>
      </c>
      <c r="T78" s="5" t="n">
        <v>911.86</v>
      </c>
      <c r="U78" s="5" t="n">
        <v>672.51</v>
      </c>
      <c r="V78" s="5" t="n">
        <v>335.64</v>
      </c>
      <c r="W78" s="5" t="n">
        <v>151.9</v>
      </c>
      <c r="X78" s="5">
        <f>SUM(P76:W76)</f>
        <v/>
      </c>
      <c r="Y78" s="5">
        <f>SUM(C76:J76)</f>
        <v/>
      </c>
      <c r="Z78" s="5">
        <f>X76-Y76</f>
        <v/>
      </c>
    </row>
    <row r="79">
      <c r="A79" s="2" t="inlineStr">
        <is>
          <t>320.340</t>
        </is>
      </c>
      <c r="B79" s="2" t="inlineStr">
        <is>
          <t>Pubblicità e materiale promozionale</t>
        </is>
      </c>
      <c r="C79" s="5" t="n">
        <v>231.2</v>
      </c>
      <c r="D79" s="5" t="n">
        <v>386.6</v>
      </c>
      <c r="E79" s="5" t="n">
        <v>772.1900000000001</v>
      </c>
      <c r="F79" s="5" t="n">
        <v>784.11</v>
      </c>
      <c r="G79" s="5" t="n">
        <v>748.52</v>
      </c>
      <c r="H79" s="5" t="n">
        <v>420.78</v>
      </c>
      <c r="I79" s="5" t="n">
        <v>256.26</v>
      </c>
      <c r="J79" s="5" t="n">
        <v>105.48</v>
      </c>
      <c r="K79" s="5" t="n">
        <v>684.24</v>
      </c>
      <c r="L79" s="5" t="n">
        <v>863.0700000000001</v>
      </c>
      <c r="M79" s="5" t="n">
        <v>655.91</v>
      </c>
      <c r="N79" s="5" t="n">
        <v>348.53</v>
      </c>
      <c r="O79" s="5">
        <f>SUM(C77:N77)</f>
        <v/>
      </c>
      <c r="P79" s="5" t="n">
        <v>238.49</v>
      </c>
      <c r="Q79" s="5" t="n">
        <v>395.42</v>
      </c>
      <c r="R79" s="5" t="n">
        <v>749.98</v>
      </c>
      <c r="S79" s="5" t="n">
        <v>811.9</v>
      </c>
      <c r="T79" s="5" t="n">
        <v>773.04</v>
      </c>
      <c r="U79" s="5" t="n">
        <v>428.83</v>
      </c>
      <c r="V79" s="5" t="n">
        <v>258.5</v>
      </c>
      <c r="W79" s="5" t="n">
        <v>111.51</v>
      </c>
      <c r="X79" s="5">
        <f>SUM(P77:W77)</f>
        <v/>
      </c>
      <c r="Y79" s="5">
        <f>SUM(C77:J77)</f>
        <v/>
      </c>
      <c r="Z79" s="5">
        <f>X77-Y77</f>
        <v/>
      </c>
    </row>
    <row r="80">
      <c r="A80" s="2" t="inlineStr">
        <is>
          <t>320.350</t>
        </is>
      </c>
      <c r="B80" s="2" t="inlineStr">
        <is>
          <t>Marketing: realizzazione del sito web e dei contenuti</t>
        </is>
      </c>
      <c r="C80" s="5" t="n">
        <v>292.77</v>
      </c>
      <c r="D80" s="5" t="n">
        <v>439.99</v>
      </c>
      <c r="E80" s="5" t="n">
        <v>792.14</v>
      </c>
      <c r="F80" s="5" t="n">
        <v>847.28</v>
      </c>
      <c r="G80" s="5" t="n">
        <v>718.59</v>
      </c>
      <c r="H80" s="5" t="n">
        <v>458.85</v>
      </c>
      <c r="I80" s="5" t="n">
        <v>266.45</v>
      </c>
      <c r="J80" s="5" t="n">
        <v>116.85</v>
      </c>
      <c r="K80" s="5" t="n">
        <v>712.76</v>
      </c>
      <c r="L80" s="5" t="n">
        <v>967.41</v>
      </c>
      <c r="M80" s="5" t="n">
        <v>665.4299999999999</v>
      </c>
      <c r="N80" s="5" t="n">
        <v>408.7</v>
      </c>
      <c r="O80" s="5">
        <f>SUM(C78:N78)</f>
        <v/>
      </c>
      <c r="P80" s="5" t="n">
        <v>293.75</v>
      </c>
      <c r="Q80" s="5" t="n">
        <v>458.98</v>
      </c>
      <c r="R80" s="5" t="n">
        <v>755.4400000000001</v>
      </c>
      <c r="S80" s="5" t="n">
        <v>825.92</v>
      </c>
      <c r="T80" s="5" t="n">
        <v>733.26</v>
      </c>
      <c r="U80" s="5" t="n">
        <v>480</v>
      </c>
      <c r="V80" s="5" t="n">
        <v>263.96</v>
      </c>
      <c r="W80" s="5" t="n">
        <v>123.4</v>
      </c>
      <c r="X80" s="5">
        <f>SUM(P78:W78)</f>
        <v/>
      </c>
      <c r="Y80" s="5">
        <f>SUM(C78:J78)</f>
        <v/>
      </c>
      <c r="Z80" s="5">
        <f>X78-Y78</f>
        <v/>
      </c>
    </row>
    <row r="81">
      <c r="A81" s="2" t="inlineStr">
        <is>
          <t>320.360</t>
        </is>
      </c>
      <c r="B81" s="2" t="inlineStr">
        <is>
          <t>Partecipazione a fiere di settore</t>
        </is>
      </c>
      <c r="C81" s="5" t="n">
        <v>190.33</v>
      </c>
      <c r="D81" s="5" t="n">
        <v>307.88</v>
      </c>
      <c r="E81" s="5" t="n">
        <v>633.0599999999999</v>
      </c>
      <c r="F81" s="5" t="n">
        <v>572.6799999999999</v>
      </c>
      <c r="G81" s="5" t="n">
        <v>514.33</v>
      </c>
      <c r="H81" s="5" t="n">
        <v>356.38</v>
      </c>
      <c r="I81" s="5" t="n">
        <v>196.21</v>
      </c>
      <c r="J81" s="5" t="n">
        <v>83.59</v>
      </c>
      <c r="K81" s="5" t="n">
        <v>547.1799999999999</v>
      </c>
      <c r="L81" s="5" t="n">
        <v>687.54</v>
      </c>
      <c r="M81" s="5" t="n">
        <v>559.54</v>
      </c>
      <c r="N81" s="5" t="n">
        <v>300.35</v>
      </c>
      <c r="O81" s="5">
        <f>SUM(C79:N79)</f>
        <v/>
      </c>
      <c r="P81" s="5" t="n">
        <v>199.6</v>
      </c>
      <c r="Q81" s="5" t="n">
        <v>300.45</v>
      </c>
      <c r="R81" s="5" t="n">
        <v>645.97</v>
      </c>
      <c r="S81" s="5" t="n">
        <v>609.76</v>
      </c>
      <c r="T81" s="5" t="n">
        <v>545.95</v>
      </c>
      <c r="U81" s="5" t="n">
        <v>366.17</v>
      </c>
      <c r="V81" s="5" t="n">
        <v>203.65</v>
      </c>
      <c r="W81" s="5" t="n">
        <v>83.27</v>
      </c>
      <c r="X81" s="5">
        <f>SUM(P79:W79)</f>
        <v/>
      </c>
      <c r="Y81" s="5">
        <f>SUM(C79:J79)</f>
        <v/>
      </c>
      <c r="Z81" s="5">
        <f>X79-Y79</f>
        <v/>
      </c>
    </row>
    <row r="82">
      <c r="A82" s="2" t="inlineStr">
        <is>
          <t>320.370</t>
        </is>
      </c>
      <c r="B82" s="2" t="inlineStr">
        <is>
          <t>Corsi di formazione tecnica per sviluppatori</t>
        </is>
      </c>
      <c r="C82" s="5" t="n">
        <v>295.51</v>
      </c>
      <c r="D82" s="5" t="n">
        <v>339.1</v>
      </c>
      <c r="E82" s="5" t="n">
        <v>839.95</v>
      </c>
      <c r="F82" s="5" t="n">
        <v>571</v>
      </c>
      <c r="G82" s="5" t="n">
        <v>486.43</v>
      </c>
      <c r="H82" s="5" t="n">
        <v>291.1</v>
      </c>
      <c r="I82" s="5" t="n">
        <v>184.13</v>
      </c>
      <c r="J82" s="5" t="n">
        <v>66.55</v>
      </c>
      <c r="K82" s="5" t="n">
        <v>1141.89</v>
      </c>
      <c r="L82" s="5" t="n">
        <v>1440.19</v>
      </c>
      <c r="M82" s="5" t="n">
        <v>1049.38</v>
      </c>
      <c r="N82" s="5" t="n">
        <v>516.89</v>
      </c>
      <c r="O82" s="5">
        <f>SUM(C80:N80)</f>
        <v/>
      </c>
      <c r="P82" s="5" t="n">
        <v>289.1</v>
      </c>
      <c r="Q82" s="5" t="n">
        <v>333.95</v>
      </c>
      <c r="R82" s="5" t="n">
        <v>862.5599999999999</v>
      </c>
      <c r="S82" s="5" t="n">
        <v>604.9400000000001</v>
      </c>
      <c r="T82" s="5" t="n">
        <v>481.06</v>
      </c>
      <c r="U82" s="5" t="n">
        <v>275.68</v>
      </c>
      <c r="V82" s="5" t="n">
        <v>193.56</v>
      </c>
      <c r="W82" s="5" t="n">
        <v>68.43000000000001</v>
      </c>
      <c r="X82" s="5">
        <f>SUM(P80:W80)</f>
        <v/>
      </c>
      <c r="Y82" s="5">
        <f>SUM(C80:J80)</f>
        <v/>
      </c>
      <c r="Z82" s="5">
        <f>X80-Y80</f>
        <v/>
      </c>
    </row>
    <row r="83">
      <c r="A83" s="2" t="inlineStr">
        <is>
          <t>320.380</t>
        </is>
      </c>
      <c r="B83" s="2" t="inlineStr">
        <is>
          <t>Corsi di aggiornamento professionale: certificazioni</t>
        </is>
      </c>
      <c r="C83" s="5" t="n">
        <v>166.06</v>
      </c>
      <c r="D83" s="5" t="n">
        <v>179.17</v>
      </c>
      <c r="E83" s="5" t="n">
        <v>390.76</v>
      </c>
      <c r="F83" s="5" t="n">
        <v>328.32</v>
      </c>
      <c r="G83" s="5" t="n">
        <v>278.25</v>
      </c>
      <c r="H83" s="5" t="n">
        <v>147.99</v>
      </c>
      <c r="I83" s="5" t="n">
        <v>88.76000000000001</v>
      </c>
      <c r="J83" s="5" t="n">
        <v>30.51</v>
      </c>
      <c r="K83" s="5" t="n">
        <v>684.49</v>
      </c>
      <c r="L83" s="5" t="n">
        <v>747.72</v>
      </c>
      <c r="M83" s="5" t="n">
        <v>544.9</v>
      </c>
      <c r="N83" s="5" t="n">
        <v>288.66</v>
      </c>
      <c r="O83" s="5">
        <f>SUM(C81:N81)</f>
        <v/>
      </c>
      <c r="P83" s="5" t="n">
        <v>175.2</v>
      </c>
      <c r="Q83" s="5" t="n">
        <v>174.73</v>
      </c>
      <c r="R83" s="5" t="n">
        <v>369.63</v>
      </c>
      <c r="S83" s="5" t="n">
        <v>350.86</v>
      </c>
      <c r="T83" s="5" t="n">
        <v>297.41</v>
      </c>
      <c r="U83" s="5" t="n">
        <v>144.28</v>
      </c>
      <c r="V83" s="5" t="n">
        <v>92.68000000000001</v>
      </c>
      <c r="W83" s="5" t="n">
        <v>31.24</v>
      </c>
      <c r="X83" s="5">
        <f>SUM(P81:W81)</f>
        <v/>
      </c>
      <c r="Y83" s="5">
        <f>SUM(C81:J81)</f>
        <v/>
      </c>
      <c r="Z83" s="5">
        <f>X81-Y81</f>
        <v/>
      </c>
    </row>
    <row r="84">
      <c r="A84" s="2" t="inlineStr">
        <is>
          <t>320.390</t>
        </is>
      </c>
      <c r="B84" s="2" t="inlineStr">
        <is>
          <t>Formazione obbligatoria sulla sicurezza sul lavoro</t>
        </is>
      </c>
      <c r="C84" s="5" t="n">
        <v>101.22</v>
      </c>
      <c r="D84" s="5" t="n">
        <v>123.8</v>
      </c>
      <c r="E84" s="5" t="n">
        <v>264.05</v>
      </c>
      <c r="F84" s="5" t="n">
        <v>213.74</v>
      </c>
      <c r="G84" s="5" t="n">
        <v>160.92</v>
      </c>
      <c r="H84" s="5" t="n">
        <v>99.04000000000001</v>
      </c>
      <c r="I84" s="5" t="n">
        <v>62.84</v>
      </c>
      <c r="J84" s="5" t="n">
        <v>21.41</v>
      </c>
      <c r="K84" s="5" t="n">
        <v>459.4</v>
      </c>
      <c r="L84" s="5" t="n">
        <v>446.72</v>
      </c>
      <c r="M84" s="5" t="n">
        <v>372.6</v>
      </c>
      <c r="N84" s="5" t="n">
        <v>189.13</v>
      </c>
      <c r="O84" s="5">
        <f>SUM(C82:N82)</f>
        <v/>
      </c>
      <c r="P84" s="5" t="n">
        <v>99.17</v>
      </c>
      <c r="Q84" s="5" t="n">
        <v>129.99</v>
      </c>
      <c r="R84" s="5" t="n">
        <v>255.83</v>
      </c>
      <c r="S84" s="5" t="n">
        <v>220.78</v>
      </c>
      <c r="T84" s="5" t="n">
        <v>166.87</v>
      </c>
      <c r="U84" s="5" t="n">
        <v>98.12</v>
      </c>
      <c r="V84" s="5" t="n">
        <v>63.24</v>
      </c>
      <c r="W84" s="5" t="n">
        <v>22.42</v>
      </c>
      <c r="X84" s="5">
        <f>SUM(P82:W82)</f>
        <v/>
      </c>
      <c r="Y84" s="5">
        <f>SUM(C82:J82)</f>
        <v/>
      </c>
      <c r="Z84" s="5">
        <f>X82-Y82</f>
        <v/>
      </c>
    </row>
    <row r="85">
      <c r="A85" s="2" t="inlineStr">
        <is>
          <t>320.400</t>
        </is>
      </c>
      <c r="B85" s="2" t="inlineStr">
        <is>
          <t>Seminari e conferenze di settore</t>
        </is>
      </c>
      <c r="C85" s="5" t="n">
        <v>180.73</v>
      </c>
      <c r="D85" s="5" t="n">
        <v>229.08</v>
      </c>
      <c r="E85" s="5" t="n">
        <v>492.56</v>
      </c>
      <c r="F85" s="5" t="n">
        <v>353.07</v>
      </c>
      <c r="G85" s="5" t="n">
        <v>294.81</v>
      </c>
      <c r="H85" s="5" t="n">
        <v>182.33</v>
      </c>
      <c r="I85" s="5" t="n">
        <v>111.97</v>
      </c>
      <c r="J85" s="5" t="n">
        <v>39.99</v>
      </c>
      <c r="K85" s="5" t="n">
        <v>737.16</v>
      </c>
      <c r="L85" s="5" t="n">
        <v>754.77</v>
      </c>
      <c r="M85" s="5" t="n">
        <v>599.4</v>
      </c>
      <c r="N85" s="5" t="n">
        <v>305.35</v>
      </c>
      <c r="O85" s="5">
        <f>SUM(C83:N83)</f>
        <v/>
      </c>
      <c r="P85" s="5" t="n">
        <v>189.08</v>
      </c>
      <c r="Q85" s="5" t="n">
        <v>235.95</v>
      </c>
      <c r="R85" s="5" t="n">
        <v>515.34</v>
      </c>
      <c r="S85" s="5" t="n">
        <v>359.46</v>
      </c>
      <c r="T85" s="5" t="n">
        <v>286.54</v>
      </c>
      <c r="U85" s="5" t="n">
        <v>173.5</v>
      </c>
      <c r="V85" s="5" t="n">
        <v>112.03</v>
      </c>
      <c r="W85" s="5" t="n">
        <v>39.59</v>
      </c>
      <c r="X85" s="5">
        <f>SUM(P83:W83)</f>
        <v/>
      </c>
      <c r="Y85" s="5">
        <f>SUM(C83:J83)</f>
        <v/>
      </c>
      <c r="Z85" s="5">
        <f>X83-Y83</f>
        <v/>
      </c>
    </row>
    <row r="86">
      <c r="A86" s="2" t="inlineStr">
        <is>
          <t>320.410</t>
        </is>
      </c>
      <c r="B86" s="2" t="inlineStr">
        <is>
          <t>Corsi di formazione manageriale</t>
        </is>
      </c>
      <c r="C86" s="5" t="n">
        <v>96.37</v>
      </c>
      <c r="D86" s="5" t="n">
        <v>120.46</v>
      </c>
      <c r="E86" s="5" t="n">
        <v>257.71</v>
      </c>
      <c r="F86" s="5" t="n">
        <v>193.06</v>
      </c>
      <c r="G86" s="5" t="n">
        <v>146.85</v>
      </c>
      <c r="H86" s="5" t="n">
        <v>92.64</v>
      </c>
      <c r="I86" s="5" t="n">
        <v>55.79</v>
      </c>
      <c r="J86" s="5" t="n">
        <v>20.51</v>
      </c>
      <c r="K86" s="5" t="n">
        <v>407.14</v>
      </c>
      <c r="L86" s="5" t="n">
        <v>441.6</v>
      </c>
      <c r="M86" s="5" t="n">
        <v>319.53</v>
      </c>
      <c r="N86" s="5" t="n">
        <v>198.21</v>
      </c>
      <c r="O86" s="5">
        <f>SUM(C84:N84)</f>
        <v/>
      </c>
      <c r="P86" s="5" t="n">
        <v>99.95</v>
      </c>
      <c r="Q86" s="5" t="n">
        <v>126.95</v>
      </c>
      <c r="R86" s="5" t="n">
        <v>244.01</v>
      </c>
      <c r="S86" s="5" t="n">
        <v>185.85</v>
      </c>
      <c r="T86" s="5" t="n">
        <v>155.03</v>
      </c>
      <c r="U86" s="5" t="n">
        <v>88.86</v>
      </c>
      <c r="V86" s="5" t="n">
        <v>55.2</v>
      </c>
      <c r="W86" s="5" t="n">
        <v>19.32</v>
      </c>
      <c r="X86" s="5">
        <f>SUM(P84:W84)</f>
        <v/>
      </c>
      <c r="Y86" s="5">
        <f>SUM(C84:J84)</f>
        <v/>
      </c>
      <c r="Z86" s="5">
        <f>X84-Y84</f>
        <v/>
      </c>
    </row>
    <row r="87">
      <c r="A87" s="2" t="inlineStr">
        <is>
          <t>320.420</t>
        </is>
      </c>
      <c r="B87" s="2" t="inlineStr">
        <is>
          <t>Manutenzione ordinaria degli uffici: parte elettrica e idraulica</t>
        </is>
      </c>
      <c r="C87" s="5" t="n">
        <v>266.43</v>
      </c>
      <c r="D87" s="5" t="n">
        <v>275.73</v>
      </c>
      <c r="E87" s="5" t="n">
        <v>275.26</v>
      </c>
      <c r="F87" s="5" t="n">
        <v>270.85</v>
      </c>
      <c r="G87" s="5" t="n">
        <v>265.12</v>
      </c>
      <c r="H87" s="5" t="n">
        <v>240.34</v>
      </c>
      <c r="I87" s="5" t="n">
        <v>246.6</v>
      </c>
      <c r="J87" s="5" t="n">
        <v>251.33</v>
      </c>
      <c r="K87" s="5" t="n">
        <v>287.5</v>
      </c>
      <c r="L87" s="5" t="n">
        <v>275.23</v>
      </c>
      <c r="M87" s="5" t="n">
        <v>261.92</v>
      </c>
      <c r="N87" s="5" t="n">
        <v>258.46</v>
      </c>
      <c r="O87" s="5">
        <f>SUM(C85:N85)</f>
        <v/>
      </c>
      <c r="P87" s="5" t="n">
        <v>279.85</v>
      </c>
      <c r="Q87" s="5" t="n">
        <v>270.26</v>
      </c>
      <c r="R87" s="5" t="n">
        <v>287.55</v>
      </c>
      <c r="S87" s="5" t="n">
        <v>289.69</v>
      </c>
      <c r="T87" s="5" t="n">
        <v>268.39</v>
      </c>
      <c r="U87" s="5" t="n">
        <v>256.03</v>
      </c>
      <c r="V87" s="5" t="n">
        <v>260.95</v>
      </c>
      <c r="W87" s="5" t="n">
        <v>236.42</v>
      </c>
      <c r="X87" s="5">
        <f>SUM(P85:W85)</f>
        <v/>
      </c>
      <c r="Y87" s="5">
        <f>SUM(C85:J85)</f>
        <v/>
      </c>
      <c r="Z87" s="5">
        <f>X85-Y85</f>
        <v/>
      </c>
    </row>
    <row r="88">
      <c r="A88" s="2" t="inlineStr">
        <is>
          <t>320.430</t>
        </is>
      </c>
      <c r="B88" s="2" t="inlineStr">
        <is>
          <t>Servizio di pulizia uffici</t>
        </is>
      </c>
      <c r="C88" s="5" t="n">
        <v>561.17</v>
      </c>
      <c r="D88" s="5" t="n">
        <v>592.39</v>
      </c>
      <c r="E88" s="5" t="n">
        <v>568.47</v>
      </c>
      <c r="F88" s="5" t="n">
        <v>523.49</v>
      </c>
      <c r="G88" s="5" t="n">
        <v>579.45</v>
      </c>
      <c r="H88" s="5" t="n">
        <v>524.55</v>
      </c>
      <c r="I88" s="5" t="n">
        <v>527.12</v>
      </c>
      <c r="J88" s="5" t="n">
        <v>515.23</v>
      </c>
      <c r="K88" s="5" t="n">
        <v>523.28</v>
      </c>
      <c r="L88" s="5" t="n">
        <v>542.03</v>
      </c>
      <c r="M88" s="5" t="n">
        <v>541.9299999999999</v>
      </c>
      <c r="N88" s="5" t="n">
        <v>526.71</v>
      </c>
      <c r="O88" s="5">
        <f>SUM(C86:N86)</f>
        <v/>
      </c>
      <c r="P88" s="5" t="n">
        <v>579.67</v>
      </c>
      <c r="Q88" s="5" t="n">
        <v>607.49</v>
      </c>
      <c r="R88" s="5" t="n">
        <v>553.86</v>
      </c>
      <c r="S88" s="5" t="n">
        <v>554.14</v>
      </c>
      <c r="T88" s="5" t="n">
        <v>546.35</v>
      </c>
      <c r="U88" s="5" t="n">
        <v>511.72</v>
      </c>
      <c r="V88" s="5" t="n">
        <v>529.35</v>
      </c>
      <c r="W88" s="5" t="n">
        <v>535.74</v>
      </c>
      <c r="X88" s="5">
        <f>SUM(P86:W86)</f>
        <v/>
      </c>
      <c r="Y88" s="5">
        <f>SUM(C86:J86)</f>
        <v/>
      </c>
      <c r="Z88" s="5">
        <f>X86-Y86</f>
        <v/>
      </c>
    </row>
    <row r="89">
      <c r="A89" s="2" t="inlineStr">
        <is>
          <t>320.440</t>
        </is>
      </c>
      <c r="B89" s="2" t="inlineStr">
        <is>
          <t>Manutenzione ordinaria e piccole riparazioni</t>
        </is>
      </c>
      <c r="C89" s="5" t="n">
        <v>367.18</v>
      </c>
      <c r="D89" s="5" t="n">
        <v>340.49</v>
      </c>
      <c r="E89" s="5" t="n">
        <v>387.13</v>
      </c>
      <c r="F89" s="5" t="n">
        <v>386.39</v>
      </c>
      <c r="G89" s="5" t="n">
        <v>379.64</v>
      </c>
      <c r="H89" s="5" t="n">
        <v>360.9</v>
      </c>
      <c r="I89" s="5" t="n">
        <v>365.66</v>
      </c>
      <c r="J89" s="5" t="n">
        <v>391.55</v>
      </c>
      <c r="K89" s="5" t="n">
        <v>371.97</v>
      </c>
      <c r="L89" s="5" t="n">
        <v>351.98</v>
      </c>
      <c r="M89" s="5" t="n">
        <v>384.87</v>
      </c>
      <c r="N89" s="5" t="n">
        <v>345.03</v>
      </c>
      <c r="O89" s="5">
        <f>SUM(C87:N87)</f>
        <v/>
      </c>
      <c r="P89" s="5" t="n">
        <v>381.33</v>
      </c>
      <c r="Q89" s="5" t="n">
        <v>339.34</v>
      </c>
      <c r="R89" s="5" t="n">
        <v>367.27</v>
      </c>
      <c r="S89" s="5" t="n">
        <v>384.34</v>
      </c>
      <c r="T89" s="5" t="n">
        <v>376.01</v>
      </c>
      <c r="U89" s="5" t="n">
        <v>352.5</v>
      </c>
      <c r="V89" s="5" t="n">
        <v>350.56</v>
      </c>
      <c r="W89" s="5" t="n">
        <v>371.28</v>
      </c>
      <c r="X89" s="5">
        <f>SUM(P87:W87)</f>
        <v/>
      </c>
      <c r="Y89" s="5">
        <f>SUM(C87:J87)</f>
        <v/>
      </c>
      <c r="Z89" s="5">
        <f>X87-Y87</f>
        <v/>
      </c>
    </row>
    <row r="90">
      <c r="A90" s="2" t="inlineStr">
        <is>
          <t>320.450</t>
        </is>
      </c>
      <c r="B90" s="2" t="inlineStr">
        <is>
          <t>Spese di rappresentanza e ospitalità clienti</t>
        </is>
      </c>
      <c r="C90" s="5" t="n">
        <v>299.37</v>
      </c>
      <c r="D90" s="5" t="n">
        <v>449.18</v>
      </c>
      <c r="E90" s="5" t="n">
        <v>581.29</v>
      </c>
      <c r="F90" s="5" t="n">
        <v>605.72</v>
      </c>
      <c r="G90" s="5" t="n">
        <v>600.33</v>
      </c>
      <c r="H90" s="5" t="n">
        <v>491.73</v>
      </c>
      <c r="I90" s="5" t="n">
        <v>395.13</v>
      </c>
      <c r="J90" s="5" t="n">
        <v>100.63</v>
      </c>
      <c r="K90" s="5" t="n">
        <v>622.88</v>
      </c>
      <c r="L90" s="5" t="n">
        <v>772.59</v>
      </c>
      <c r="M90" s="5" t="n">
        <v>616.96</v>
      </c>
      <c r="N90" s="5" t="n">
        <v>307.65</v>
      </c>
      <c r="O90" s="5">
        <f>SUM(C88:N88)</f>
        <v/>
      </c>
      <c r="P90" s="5" t="n">
        <v>289.32</v>
      </c>
      <c r="Q90" s="5" t="n">
        <v>440.12</v>
      </c>
      <c r="R90" s="5" t="n">
        <v>600.01</v>
      </c>
      <c r="S90" s="5" t="n">
        <v>623.17</v>
      </c>
      <c r="T90" s="5" t="n">
        <v>568.5700000000001</v>
      </c>
      <c r="U90" s="5" t="n">
        <v>498.54</v>
      </c>
      <c r="V90" s="5" t="n">
        <v>390.92</v>
      </c>
      <c r="W90" s="5" t="n">
        <v>105.57</v>
      </c>
      <c r="X90" s="5">
        <f>SUM(P88:W88)</f>
        <v/>
      </c>
      <c r="Y90" s="5">
        <f>SUM(C88:J88)</f>
        <v/>
      </c>
      <c r="Z90" s="5">
        <f>X88-Y88</f>
        <v/>
      </c>
    </row>
    <row r="91">
      <c r="A91" s="2" t="inlineStr">
        <is>
          <t>320.460</t>
        </is>
      </c>
      <c r="B91" s="2" t="inlineStr">
        <is>
          <t>Trasferte e rimborsi chilometrici</t>
        </is>
      </c>
      <c r="C91" s="5" t="n">
        <v>197.65</v>
      </c>
      <c r="D91" s="5" t="n">
        <v>259.2</v>
      </c>
      <c r="E91" s="5" t="n">
        <v>405.86</v>
      </c>
      <c r="F91" s="5" t="n">
        <v>449.88</v>
      </c>
      <c r="G91" s="5" t="n">
        <v>431.72</v>
      </c>
      <c r="H91" s="5" t="n">
        <v>323.19</v>
      </c>
      <c r="I91" s="5" t="n">
        <v>259.81</v>
      </c>
      <c r="J91" s="5" t="n">
        <v>63.68</v>
      </c>
      <c r="K91" s="5" t="n">
        <v>455.73</v>
      </c>
      <c r="L91" s="5" t="n">
        <v>572.75</v>
      </c>
      <c r="M91" s="5" t="n">
        <v>396.07</v>
      </c>
      <c r="N91" s="5" t="n">
        <v>215.24</v>
      </c>
      <c r="O91" s="5">
        <f>SUM(C89:N89)</f>
        <v/>
      </c>
      <c r="P91" s="5" t="n">
        <v>207.64</v>
      </c>
      <c r="Q91" s="5" t="n">
        <v>255.7</v>
      </c>
      <c r="R91" s="5" t="n">
        <v>419.71</v>
      </c>
      <c r="S91" s="5" t="n">
        <v>479.28</v>
      </c>
      <c r="T91" s="5" t="n">
        <v>445.44</v>
      </c>
      <c r="U91" s="5" t="n">
        <v>345.75</v>
      </c>
      <c r="V91" s="5" t="n">
        <v>276.15</v>
      </c>
      <c r="W91" s="5" t="n">
        <v>63.98</v>
      </c>
      <c r="X91" s="5">
        <f>SUM(P89:W89)</f>
        <v/>
      </c>
      <c r="Y91" s="5">
        <f>SUM(C89:J89)</f>
        <v/>
      </c>
      <c r="Z91" s="5">
        <f>X89-Y89</f>
        <v/>
      </c>
    </row>
    <row r="92">
      <c r="A92" s="2" t="inlineStr">
        <is>
          <t>320.470</t>
        </is>
      </c>
      <c r="B92" s="2" t="inlineStr">
        <is>
          <t>Trasferte: viaggi, alloggio e vitto</t>
        </is>
      </c>
      <c r="C92" s="5" t="n">
        <v>245.25</v>
      </c>
      <c r="D92" s="5" t="n">
        <v>351.9</v>
      </c>
      <c r="E92" s="5" t="n">
        <v>528.03</v>
      </c>
      <c r="F92" s="5" t="n">
        <v>507.01</v>
      </c>
      <c r="G92" s="5" t="n">
        <v>557.41</v>
      </c>
      <c r="H92" s="5" t="n">
        <v>465.6</v>
      </c>
      <c r="I92" s="5" t="n">
        <v>346.16</v>
      </c>
      <c r="J92" s="5" t="n">
        <v>89.73999999999999</v>
      </c>
      <c r="K92" s="5" t="n">
        <v>585.5700000000001</v>
      </c>
      <c r="L92" s="5" t="n">
        <v>668.87</v>
      </c>
      <c r="M92" s="5" t="n">
        <v>518.1799999999999</v>
      </c>
      <c r="N92" s="5" t="n">
        <v>248.66</v>
      </c>
      <c r="O92" s="5">
        <f>SUM(C90:N90)</f>
        <v/>
      </c>
      <c r="P92" s="5" t="n">
        <v>257.73</v>
      </c>
      <c r="Q92" s="5" t="n">
        <v>348.39</v>
      </c>
      <c r="R92" s="5" t="n">
        <v>507.75</v>
      </c>
      <c r="S92" s="5" t="n">
        <v>480.81</v>
      </c>
      <c r="T92" s="5" t="n">
        <v>534.24</v>
      </c>
      <c r="U92" s="5" t="n">
        <v>440.8</v>
      </c>
      <c r="V92" s="5" t="n">
        <v>362.3</v>
      </c>
      <c r="W92" s="5" t="n">
        <v>87.89</v>
      </c>
      <c r="X92" s="5">
        <f>SUM(P90:W90)</f>
        <v/>
      </c>
      <c r="Y92" s="5">
        <f>SUM(C90:J90)</f>
        <v/>
      </c>
      <c r="Z92" s="5">
        <f>X90-Y90</f>
        <v/>
      </c>
    </row>
    <row r="93">
      <c r="A93" s="2" t="inlineStr">
        <is>
          <t>320.480</t>
        </is>
      </c>
      <c r="B93" s="2" t="inlineStr">
        <is>
          <t>Spese di rappresentanza: omaggi aziendali</t>
        </is>
      </c>
      <c r="C93" s="5" t="n">
        <v>117.3</v>
      </c>
      <c r="D93" s="5" t="n">
        <v>156.77</v>
      </c>
      <c r="E93" s="5" t="n">
        <v>204.6</v>
      </c>
      <c r="F93" s="5" t="n">
        <v>222.02</v>
      </c>
      <c r="G93" s="5" t="n">
        <v>214.13</v>
      </c>
      <c r="H93" s="5" t="n">
        <v>190.07</v>
      </c>
      <c r="I93" s="5" t="n">
        <v>141.21</v>
      </c>
      <c r="J93" s="5" t="n">
        <v>41.38</v>
      </c>
      <c r="K93" s="5" t="n">
        <v>252.47</v>
      </c>
      <c r="L93" s="5" t="n">
        <v>266.53</v>
      </c>
      <c r="M93" s="5" t="n">
        <v>236.01</v>
      </c>
      <c r="N93" s="5" t="n">
        <v>118.83</v>
      </c>
      <c r="O93" s="5">
        <f>SUM(C91:N91)</f>
        <v/>
      </c>
      <c r="P93" s="5" t="n">
        <v>123.77</v>
      </c>
      <c r="Q93" s="5" t="n">
        <v>164.67</v>
      </c>
      <c r="R93" s="5" t="n">
        <v>208.79</v>
      </c>
      <c r="S93" s="5" t="n">
        <v>225.8</v>
      </c>
      <c r="T93" s="5" t="n">
        <v>222.73</v>
      </c>
      <c r="U93" s="5" t="n">
        <v>198.91</v>
      </c>
      <c r="V93" s="5" t="n">
        <v>145.71</v>
      </c>
      <c r="W93" s="5" t="n">
        <v>40.95</v>
      </c>
      <c r="X93" s="5">
        <f>SUM(P91:W91)</f>
        <v/>
      </c>
      <c r="Y93" s="5">
        <f>SUM(C91:J91)</f>
        <v/>
      </c>
      <c r="Z93" s="5">
        <f>X91-Y91</f>
        <v/>
      </c>
    </row>
    <row r="94">
      <c r="A94" s="2" t="inlineStr">
        <is>
          <t>320.490</t>
        </is>
      </c>
      <c r="B94" s="2" t="inlineStr">
        <is>
          <t>Spese bancarie e commissioni su conti correnti</t>
        </is>
      </c>
      <c r="C94" s="5" t="n">
        <v>184.41</v>
      </c>
      <c r="D94" s="5" t="n">
        <v>202.76</v>
      </c>
      <c r="E94" s="5" t="n">
        <v>176.79</v>
      </c>
      <c r="F94" s="5" t="n">
        <v>184.59</v>
      </c>
      <c r="G94" s="5" t="n">
        <v>175.9</v>
      </c>
      <c r="H94" s="5" t="n">
        <v>173.29</v>
      </c>
      <c r="I94" s="5" t="n">
        <v>166.92</v>
      </c>
      <c r="J94" s="5" t="n">
        <v>173.74</v>
      </c>
      <c r="K94" s="5" t="n">
        <v>187.56</v>
      </c>
      <c r="L94" s="5" t="n">
        <v>197.1</v>
      </c>
      <c r="M94" s="5" t="n">
        <v>178.71</v>
      </c>
      <c r="N94" s="5" t="n">
        <v>179.03</v>
      </c>
      <c r="O94" s="5">
        <f>SUM(C92:N92)</f>
        <v/>
      </c>
      <c r="P94" s="5" t="n">
        <v>179.75</v>
      </c>
      <c r="Q94" s="5" t="n">
        <v>207.14</v>
      </c>
      <c r="R94" s="5" t="n">
        <v>169.32</v>
      </c>
      <c r="S94" s="5" t="n">
        <v>196.57</v>
      </c>
      <c r="T94" s="5" t="n">
        <v>179.17</v>
      </c>
      <c r="U94" s="5" t="n">
        <v>176.77</v>
      </c>
      <c r="V94" s="5" t="n">
        <v>174.86</v>
      </c>
      <c r="W94" s="5" t="n">
        <v>181.12</v>
      </c>
      <c r="X94" s="5">
        <f>SUM(P92:W92)</f>
        <v/>
      </c>
      <c r="Y94" s="5">
        <f>SUM(C92:J92)</f>
        <v/>
      </c>
      <c r="Z94" s="5">
        <f>X92-Y92</f>
        <v/>
      </c>
    </row>
    <row r="95">
      <c r="A95" s="2" t="inlineStr">
        <is>
          <t>320.500</t>
        </is>
      </c>
      <c r="B95" s="2" t="inlineStr">
        <is>
          <t>Spese bancarie: commissioni su incassi e POS</t>
        </is>
      </c>
      <c r="C95" s="5" t="n">
        <v>147.97</v>
      </c>
      <c r="D95" s="5" t="n">
        <v>149.27</v>
      </c>
      <c r="E95" s="5" t="n">
        <v>127.75</v>
      </c>
      <c r="F95" s="5" t="n">
        <v>134.72</v>
      </c>
      <c r="G95" s="5" t="n">
        <v>145.63</v>
      </c>
      <c r="H95" s="5" t="n">
        <v>131.84</v>
      </c>
      <c r="I95" s="5" t="n">
        <v>139.33</v>
      </c>
      <c r="J95" s="5" t="n">
        <v>148.38</v>
      </c>
      <c r="K95" s="5" t="n">
        <v>130.01</v>
      </c>
      <c r="L95" s="5" t="n">
        <v>134.33</v>
      </c>
      <c r="M95" s="5" t="n">
        <v>142.08</v>
      </c>
      <c r="N95" s="5" t="n">
        <v>136.05</v>
      </c>
      <c r="O95" s="5">
        <f>SUM(C93:N93)</f>
        <v/>
      </c>
      <c r="P95" s="5" t="n">
        <v>148.93</v>
      </c>
      <c r="Q95" s="5" t="n">
        <v>150.46</v>
      </c>
      <c r="R95" s="5" t="n">
        <v>135.97</v>
      </c>
      <c r="S95" s="5" t="n">
        <v>138.67</v>
      </c>
      <c r="T95" s="5" t="n">
        <v>146.51</v>
      </c>
      <c r="U95" s="5" t="n">
        <v>132.57</v>
      </c>
      <c r="V95" s="5" t="n">
        <v>148.79</v>
      </c>
      <c r="W95" s="5" t="n">
        <v>142.14</v>
      </c>
      <c r="X95" s="5">
        <f>SUM(P93:W93)</f>
        <v/>
      </c>
      <c r="Y95" s="5">
        <f>SUM(C93:J93)</f>
        <v/>
      </c>
      <c r="Z95" s="5">
        <f>X93-Y93</f>
        <v/>
      </c>
    </row>
    <row r="96">
      <c r="A96" s="2" t="inlineStr">
        <is>
          <t>320.510</t>
        </is>
      </c>
      <c r="B96" s="2" t="inlineStr">
        <is>
          <t>Spese bancarie: commissioni su fidejussioni e garanzie</t>
        </is>
      </c>
      <c r="C96" s="5" t="n">
        <v>197.69</v>
      </c>
      <c r="D96" s="5" t="n">
        <v>207.96</v>
      </c>
      <c r="E96" s="5" t="n">
        <v>195.37</v>
      </c>
      <c r="F96" s="5" t="n">
        <v>194.06</v>
      </c>
      <c r="G96" s="5" t="n">
        <v>180.62</v>
      </c>
      <c r="H96" s="5" t="n">
        <v>200.52</v>
      </c>
      <c r="I96" s="5" t="n">
        <v>207.45</v>
      </c>
      <c r="J96" s="5" t="n">
        <v>196.49</v>
      </c>
      <c r="K96" s="5" t="n">
        <v>180.74</v>
      </c>
      <c r="L96" s="5" t="n">
        <v>201.58</v>
      </c>
      <c r="M96" s="5" t="n">
        <v>179.16</v>
      </c>
      <c r="N96" s="5" t="n">
        <v>180.91</v>
      </c>
      <c r="O96" s="5">
        <f>SUM(C94:N94)</f>
        <v/>
      </c>
      <c r="P96" s="5" t="n">
        <v>204.72</v>
      </c>
      <c r="Q96" s="5" t="n">
        <v>206.35</v>
      </c>
      <c r="R96" s="5" t="n">
        <v>184.38</v>
      </c>
      <c r="S96" s="5" t="n">
        <v>200.36</v>
      </c>
      <c r="T96" s="5" t="n">
        <v>181.83</v>
      </c>
      <c r="U96" s="5" t="n">
        <v>208.88</v>
      </c>
      <c r="V96" s="5" t="n">
        <v>205.48</v>
      </c>
      <c r="W96" s="5" t="n">
        <v>201.28</v>
      </c>
      <c r="X96" s="5">
        <f>SUM(P94:W94)</f>
        <v/>
      </c>
      <c r="Y96" s="5">
        <f>SUM(C94:J94)</f>
        <v/>
      </c>
      <c r="Z96" s="5">
        <f>X94-Y94</f>
        <v/>
      </c>
    </row>
    <row r="97">
      <c r="A97" s="2" t="inlineStr">
        <is>
          <t>320.520</t>
        </is>
      </c>
      <c r="B97" s="2" t="inlineStr">
        <is>
          <t>Spese postali e raccomandate</t>
        </is>
      </c>
      <c r="C97" s="5" t="n">
        <v>86.29000000000001</v>
      </c>
      <c r="D97" s="5" t="n">
        <v>80.75</v>
      </c>
      <c r="E97" s="5" t="n">
        <v>84.44</v>
      </c>
      <c r="F97" s="5" t="n">
        <v>80.83</v>
      </c>
      <c r="G97" s="5" t="n">
        <v>84.34</v>
      </c>
      <c r="H97" s="5" t="n">
        <v>80.23999999999999</v>
      </c>
      <c r="I97" s="5" t="n">
        <v>85.47</v>
      </c>
      <c r="J97" s="5" t="n">
        <v>82.78</v>
      </c>
      <c r="K97" s="5" t="n">
        <v>77.05</v>
      </c>
      <c r="L97" s="5" t="n">
        <v>84.45999999999999</v>
      </c>
      <c r="M97" s="5" t="n">
        <v>84.70999999999999</v>
      </c>
      <c r="N97" s="5" t="n">
        <v>80.87</v>
      </c>
      <c r="O97" s="5">
        <f>SUM(C95:N95)</f>
        <v/>
      </c>
      <c r="P97" s="5" t="n">
        <v>81.91</v>
      </c>
      <c r="Q97" s="5" t="n">
        <v>77.38</v>
      </c>
      <c r="R97" s="5" t="n">
        <v>84.01000000000001</v>
      </c>
      <c r="S97" s="5" t="n">
        <v>77.64</v>
      </c>
      <c r="T97" s="5" t="n">
        <v>80.98</v>
      </c>
      <c r="U97" s="5" t="n">
        <v>83.79000000000001</v>
      </c>
      <c r="V97" s="5" t="n">
        <v>83.97</v>
      </c>
      <c r="W97" s="5" t="n">
        <v>78.26000000000001</v>
      </c>
      <c r="X97" s="5">
        <f>SUM(P95:W95)</f>
        <v/>
      </c>
      <c r="Y97" s="5">
        <f>SUM(C95:J95)</f>
        <v/>
      </c>
      <c r="Z97" s="5">
        <f>X95-Y95</f>
        <v/>
      </c>
    </row>
    <row r="98">
      <c r="A98" s="2" t="inlineStr">
        <is>
          <t>320.530</t>
        </is>
      </c>
      <c r="B98" s="2" t="inlineStr">
        <is>
          <t>Servizi di corriere e spedizioni</t>
        </is>
      </c>
      <c r="C98" s="5" t="n">
        <v>106.93</v>
      </c>
      <c r="D98" s="5" t="n">
        <v>119.79</v>
      </c>
      <c r="E98" s="5" t="n">
        <v>107.12</v>
      </c>
      <c r="F98" s="5" t="n">
        <v>104.92</v>
      </c>
      <c r="G98" s="5" t="n">
        <v>107.64</v>
      </c>
      <c r="H98" s="5" t="n">
        <v>101.33</v>
      </c>
      <c r="I98" s="5" t="n">
        <v>113.39</v>
      </c>
      <c r="J98" s="5" t="n">
        <v>115.45</v>
      </c>
      <c r="K98" s="5" t="n">
        <v>106.12</v>
      </c>
      <c r="L98" s="5" t="n">
        <v>115.73</v>
      </c>
      <c r="M98" s="5" t="n">
        <v>108.78</v>
      </c>
      <c r="N98" s="5" t="n">
        <v>114.3</v>
      </c>
      <c r="O98" s="5">
        <f>SUM(C96:N96)</f>
        <v/>
      </c>
      <c r="P98" s="5" t="n">
        <v>106</v>
      </c>
      <c r="Q98" s="5" t="n">
        <v>121.96</v>
      </c>
      <c r="R98" s="5" t="n">
        <v>109.35</v>
      </c>
      <c r="S98" s="5" t="n">
        <v>108.7</v>
      </c>
      <c r="T98" s="5" t="n">
        <v>112.2</v>
      </c>
      <c r="U98" s="5" t="n">
        <v>105.75</v>
      </c>
      <c r="V98" s="5" t="n">
        <v>106.81</v>
      </c>
      <c r="W98" s="5" t="n">
        <v>121.7</v>
      </c>
      <c r="X98" s="5">
        <f>SUM(P96:W96)</f>
        <v/>
      </c>
      <c r="Y98" s="5">
        <f>SUM(C96:J96)</f>
        <v/>
      </c>
      <c r="Z98" s="5">
        <f>X96-Y96</f>
        <v/>
      </c>
    </row>
    <row r="99">
      <c r="A99" s="2" t="inlineStr">
        <is>
          <t>330.010</t>
        </is>
      </c>
      <c r="B99" s="2" t="inlineStr">
        <is>
          <t>Affitto della sede legale di via Garibaldi</t>
        </is>
      </c>
      <c r="C99" s="5" t="n">
        <v>3074.31</v>
      </c>
      <c r="D99" s="5" t="n">
        <v>3083.15</v>
      </c>
      <c r="E99" s="5" t="n">
        <v>2870.59</v>
      </c>
      <c r="F99" s="5" t="n">
        <v>3151.87</v>
      </c>
      <c r="G99" s="5" t="n">
        <v>3303.37</v>
      </c>
      <c r="H99" s="5" t="n">
        <v>3329.63</v>
      </c>
      <c r="I99" s="5" t="n">
        <v>3217.59</v>
      </c>
      <c r="J99" s="5" t="n">
        <v>3108.39</v>
      </c>
      <c r="K99" s="5" t="n">
        <v>3057.63</v>
      </c>
      <c r="L99" s="5" t="n">
        <v>2835.09</v>
      </c>
      <c r="M99" s="5" t="n">
        <v>2896.59</v>
      </c>
      <c r="N99" s="5" t="n">
        <v>2801.58</v>
      </c>
      <c r="O99" s="5">
        <f>SUM(C97:N97)</f>
        <v/>
      </c>
      <c r="P99" s="5" t="n">
        <v>2910.85</v>
      </c>
      <c r="Q99" s="5" t="n">
        <v>3230.32</v>
      </c>
      <c r="R99" s="5" t="n">
        <v>2987.02</v>
      </c>
      <c r="S99" s="5" t="n">
        <v>3282.14</v>
      </c>
      <c r="T99" s="5" t="n">
        <v>3147</v>
      </c>
      <c r="U99" s="5" t="n">
        <v>3229.84</v>
      </c>
      <c r="V99" s="5" t="n">
        <v>3098.39</v>
      </c>
      <c r="W99" s="5" t="n">
        <v>2975.47</v>
      </c>
      <c r="X99" s="5">
        <f>SUM(P97:W97)</f>
        <v/>
      </c>
      <c r="Y99" s="5">
        <f>SUM(C97:J97)</f>
        <v/>
      </c>
      <c r="Z99" s="5">
        <f>X97-Y97</f>
        <v/>
      </c>
    </row>
    <row r="100">
      <c r="A100" s="2" t="inlineStr">
        <is>
          <t>330.020</t>
        </is>
      </c>
      <c r="B100" s="2" t="inlineStr">
        <is>
          <t>Affitto dell'unità locale di corso Francia</t>
        </is>
      </c>
      <c r="C100" s="5" t="n">
        <v>1088.1</v>
      </c>
      <c r="D100" s="5" t="n">
        <v>1099.89</v>
      </c>
      <c r="E100" s="5" t="n">
        <v>954.02</v>
      </c>
      <c r="F100" s="5" t="n">
        <v>937.6900000000001</v>
      </c>
      <c r="G100" s="5" t="n">
        <v>999.38</v>
      </c>
      <c r="H100" s="5" t="n">
        <v>1005.09</v>
      </c>
      <c r="I100" s="5" t="n">
        <v>929.77</v>
      </c>
      <c r="J100" s="5" t="n">
        <v>965</v>
      </c>
      <c r="K100" s="5" t="n">
        <v>1048.73</v>
      </c>
      <c r="L100" s="5" t="n">
        <v>1098.09</v>
      </c>
      <c r="M100" s="5" t="n">
        <v>993.51</v>
      </c>
      <c r="N100" s="5" t="n">
        <v>1009.41</v>
      </c>
      <c r="O100" s="5">
        <f>SUM(C98:N98)</f>
        <v/>
      </c>
      <c r="P100" s="5" t="n">
        <v>1090.59</v>
      </c>
      <c r="Q100" s="5" t="n">
        <v>1055</v>
      </c>
      <c r="R100" s="5" t="n">
        <v>956.48</v>
      </c>
      <c r="S100" s="5" t="n">
        <v>950.66</v>
      </c>
      <c r="T100" s="5" t="n">
        <v>1010.94</v>
      </c>
      <c r="U100" s="5" t="n">
        <v>1072.35</v>
      </c>
      <c r="V100" s="5" t="n">
        <v>935.29</v>
      </c>
      <c r="W100" s="5" t="n">
        <v>965.5</v>
      </c>
      <c r="X100" s="5">
        <f>SUM(P98:W98)</f>
        <v/>
      </c>
      <c r="Y100" s="5">
        <f>SUM(C98:J98)</f>
        <v/>
      </c>
      <c r="Z100" s="5">
        <f>X98-Y98</f>
        <v/>
      </c>
    </row>
    <row r="101">
      <c r="A101" s="2" t="inlineStr">
        <is>
          <t>330.030</t>
        </is>
      </c>
      <c r="B101" s="2" t="inlineStr">
        <is>
          <t>Spese condominiali della sede legale</t>
        </is>
      </c>
      <c r="C101" s="5" t="n">
        <v>394.04</v>
      </c>
      <c r="D101" s="5" t="n">
        <v>436.09</v>
      </c>
      <c r="E101" s="5" t="n">
        <v>396.51</v>
      </c>
      <c r="F101" s="5" t="n">
        <v>397.09</v>
      </c>
      <c r="G101" s="5" t="n">
        <v>395.38</v>
      </c>
      <c r="H101" s="5" t="n">
        <v>441.37</v>
      </c>
      <c r="I101" s="5" t="n">
        <v>378.95</v>
      </c>
      <c r="J101" s="5" t="n">
        <v>432.8</v>
      </c>
      <c r="K101" s="5" t="n">
        <v>393.32</v>
      </c>
      <c r="L101" s="5" t="n">
        <v>393.61</v>
      </c>
      <c r="M101" s="5" t="n">
        <v>424.55</v>
      </c>
      <c r="N101" s="5" t="n">
        <v>383.27</v>
      </c>
      <c r="O101" s="5">
        <f>SUM(C99:N99)</f>
        <v/>
      </c>
      <c r="P101" s="5" t="n">
        <v>373.22</v>
      </c>
      <c r="Q101" s="5" t="n">
        <v>435.38</v>
      </c>
      <c r="R101" s="5" t="n">
        <v>385.26</v>
      </c>
      <c r="S101" s="5" t="n">
        <v>417.2</v>
      </c>
      <c r="T101" s="5" t="n">
        <v>390.72</v>
      </c>
      <c r="U101" s="5" t="n">
        <v>427.45</v>
      </c>
      <c r="V101" s="5" t="n">
        <v>360.14</v>
      </c>
      <c r="W101" s="5" t="n">
        <v>417.79</v>
      </c>
      <c r="X101" s="5">
        <f>SUM(P99:W99)</f>
        <v/>
      </c>
      <c r="Y101" s="5">
        <f>SUM(C99:J99)</f>
        <v/>
      </c>
      <c r="Z101" s="5">
        <f>X99-Y99</f>
        <v/>
      </c>
    </row>
    <row r="102">
      <c r="A102" s="2" t="inlineStr">
        <is>
          <t>330.040</t>
        </is>
      </c>
      <c r="B102" s="2" t="inlineStr">
        <is>
          <t>Spese condominiali dell'unità locale</t>
        </is>
      </c>
      <c r="C102" s="5" t="n">
        <v>186.52</v>
      </c>
      <c r="D102" s="5" t="n">
        <v>203.78</v>
      </c>
      <c r="E102" s="5" t="n">
        <v>204.75</v>
      </c>
      <c r="F102" s="5" t="n">
        <v>201.83</v>
      </c>
      <c r="G102" s="5" t="n">
        <v>181.71</v>
      </c>
      <c r="H102" s="5" t="n">
        <v>212.33</v>
      </c>
      <c r="I102" s="5" t="n">
        <v>193.03</v>
      </c>
      <c r="J102" s="5" t="n">
        <v>184.87</v>
      </c>
      <c r="K102" s="5" t="n">
        <v>196.68</v>
      </c>
      <c r="L102" s="5" t="n">
        <v>193.72</v>
      </c>
      <c r="M102" s="5" t="n">
        <v>175.17</v>
      </c>
      <c r="N102" s="5" t="n">
        <v>206.34</v>
      </c>
      <c r="O102" s="5">
        <f>SUM(C100:N100)</f>
        <v/>
      </c>
      <c r="P102" s="5" t="n">
        <v>179.69</v>
      </c>
      <c r="Q102" s="5" t="n">
        <v>211.85</v>
      </c>
      <c r="R102" s="5" t="n">
        <v>198.82</v>
      </c>
      <c r="S102" s="5" t="n">
        <v>192.71</v>
      </c>
      <c r="T102" s="5" t="n">
        <v>179.91</v>
      </c>
      <c r="U102" s="5" t="n">
        <v>221.2</v>
      </c>
      <c r="V102" s="5" t="n">
        <v>199.5</v>
      </c>
      <c r="W102" s="5" t="n">
        <v>176.2</v>
      </c>
      <c r="X102" s="5">
        <f>SUM(P100:W100)</f>
        <v/>
      </c>
      <c r="Y102" s="5">
        <f>SUM(C100:J100)</f>
        <v/>
      </c>
      <c r="Z102" s="5">
        <f>X100-Y100</f>
        <v/>
      </c>
    </row>
    <row r="103">
      <c r="A103" s="2" t="inlineStr">
        <is>
          <t>330.050</t>
        </is>
      </c>
      <c r="B103" s="2" t="inlineStr">
        <is>
          <t>Canoni di locazione operativa: autovettura ibrida di rappresentanza</t>
        </is>
      </c>
      <c r="C103" s="5" t="n">
        <v>601.8200000000001</v>
      </c>
      <c r="D103" s="5" t="n">
        <v>602.09</v>
      </c>
      <c r="E103" s="5" t="n">
        <v>589.86</v>
      </c>
      <c r="F103" s="5" t="n">
        <v>604.77</v>
      </c>
      <c r="G103" s="5" t="n">
        <v>630.9400000000001</v>
      </c>
      <c r="H103" s="5" t="n">
        <v>610.66</v>
      </c>
      <c r="I103" s="5" t="n">
        <v>559.1900000000001</v>
      </c>
      <c r="J103" s="5" t="n">
        <v>527.01</v>
      </c>
      <c r="K103" s="5" t="n">
        <v>613.0700000000001</v>
      </c>
      <c r="L103" s="5" t="n">
        <v>548.15</v>
      </c>
      <c r="M103" s="5" t="n">
        <v>606.02</v>
      </c>
      <c r="N103" s="5" t="n">
        <v>581.49</v>
      </c>
      <c r="O103" s="5">
        <f>SUM(C101:N101)</f>
        <v/>
      </c>
      <c r="P103" s="5" t="n">
        <v>589.4400000000001</v>
      </c>
      <c r="Q103" s="5" t="n">
        <v>581.8200000000001</v>
      </c>
      <c r="R103" s="5" t="n">
        <v>593.05</v>
      </c>
      <c r="S103" s="5" t="n">
        <v>605.75</v>
      </c>
      <c r="T103" s="5" t="n">
        <v>663.9</v>
      </c>
      <c r="U103" s="5" t="n">
        <v>618.95</v>
      </c>
      <c r="V103" s="5" t="n">
        <v>553.4400000000001</v>
      </c>
      <c r="W103" s="5" t="n">
        <v>498.88</v>
      </c>
      <c r="X103" s="5">
        <f>SUM(P101:W101)</f>
        <v/>
      </c>
      <c r="Y103" s="5">
        <f>SUM(C101:J101)</f>
        <v/>
      </c>
      <c r="Z103" s="5">
        <f>X101-Y101</f>
        <v/>
      </c>
    </row>
    <row r="104">
      <c r="A104" s="2" t="inlineStr">
        <is>
          <t>330.060</t>
        </is>
      </c>
      <c r="B104" s="2" t="inlineStr">
        <is>
          <t>Canoni di locazione operativa: autovettura di servizio</t>
        </is>
      </c>
      <c r="C104" s="5" t="n">
        <v>511.63</v>
      </c>
      <c r="D104" s="5" t="n">
        <v>564.42</v>
      </c>
      <c r="E104" s="5" t="n">
        <v>594.72</v>
      </c>
      <c r="F104" s="5" t="n">
        <v>560.15</v>
      </c>
      <c r="G104" s="5" t="n">
        <v>542.2</v>
      </c>
      <c r="H104" s="5" t="n">
        <v>527.38</v>
      </c>
      <c r="I104" s="5" t="n">
        <v>556.9299999999999</v>
      </c>
      <c r="J104" s="5" t="n">
        <v>587.52</v>
      </c>
      <c r="K104" s="5" t="n">
        <v>518.6799999999999</v>
      </c>
      <c r="L104" s="5" t="n">
        <v>501.83</v>
      </c>
      <c r="M104" s="5" t="n">
        <v>606.37</v>
      </c>
      <c r="N104" s="5" t="n">
        <v>591.03</v>
      </c>
      <c r="O104" s="5">
        <f>SUM(C102:N102)</f>
        <v/>
      </c>
      <c r="P104" s="5" t="n">
        <v>508.66</v>
      </c>
      <c r="Q104" s="5" t="n">
        <v>602.58</v>
      </c>
      <c r="R104" s="5" t="n">
        <v>560.48</v>
      </c>
      <c r="S104" s="5" t="n">
        <v>564.73</v>
      </c>
      <c r="T104" s="5" t="n">
        <v>540.08</v>
      </c>
      <c r="U104" s="5" t="n">
        <v>550.79</v>
      </c>
      <c r="V104" s="5" t="n">
        <v>528.15</v>
      </c>
      <c r="W104" s="5" t="n">
        <v>587.16</v>
      </c>
      <c r="X104" s="5">
        <f>SUM(P102:W102)</f>
        <v/>
      </c>
      <c r="Y104" s="5">
        <f>SUM(C102:J102)</f>
        <v/>
      </c>
      <c r="Z104" s="5">
        <f>X102-Y102</f>
        <v/>
      </c>
    </row>
    <row r="105">
      <c r="A105" s="2" t="inlineStr">
        <is>
          <t>330.070</t>
        </is>
      </c>
      <c r="B105" s="2" t="inlineStr">
        <is>
          <t>Canoni di locazione operativa: stampanti multifunzione</t>
        </is>
      </c>
      <c r="C105" s="5" t="n">
        <v>199.85</v>
      </c>
      <c r="D105" s="5" t="n">
        <v>192.32</v>
      </c>
      <c r="E105" s="5" t="n">
        <v>203.6</v>
      </c>
      <c r="F105" s="5" t="n">
        <v>189.3</v>
      </c>
      <c r="G105" s="5" t="n">
        <v>197.09</v>
      </c>
      <c r="H105" s="5" t="n">
        <v>201.23</v>
      </c>
      <c r="I105" s="5" t="n">
        <v>170.4</v>
      </c>
      <c r="J105" s="5" t="n">
        <v>172.39</v>
      </c>
      <c r="K105" s="5" t="n">
        <v>205.1</v>
      </c>
      <c r="L105" s="5" t="n">
        <v>174.48</v>
      </c>
      <c r="M105" s="5" t="n">
        <v>196.06</v>
      </c>
      <c r="N105" s="5" t="n">
        <v>202.17</v>
      </c>
      <c r="O105" s="5">
        <f>SUM(C103:N103)</f>
        <v/>
      </c>
      <c r="P105" s="5" t="n">
        <v>200.26</v>
      </c>
      <c r="Q105" s="5" t="n">
        <v>185.91</v>
      </c>
      <c r="R105" s="5" t="n">
        <v>201.64</v>
      </c>
      <c r="S105" s="5" t="n">
        <v>193.47</v>
      </c>
      <c r="T105" s="5" t="n">
        <v>201.13</v>
      </c>
      <c r="U105" s="5" t="n">
        <v>194.08</v>
      </c>
      <c r="V105" s="5" t="n">
        <v>178.95</v>
      </c>
      <c r="W105" s="5" t="n">
        <v>173.96</v>
      </c>
      <c r="X105" s="5">
        <f>SUM(P103:W103)</f>
        <v/>
      </c>
      <c r="Y105" s="5">
        <f>SUM(C103:J103)</f>
        <v/>
      </c>
      <c r="Z105" s="5">
        <f>X103-Y103</f>
        <v/>
      </c>
    </row>
    <row r="106">
      <c r="A106" s="2" t="inlineStr">
        <is>
          <t>330.080</t>
        </is>
      </c>
      <c r="B106" s="2" t="inlineStr">
        <is>
          <t>Canoni di locazione operativa: notebook</t>
        </is>
      </c>
      <c r="C106" s="5" t="n">
        <v>291.79</v>
      </c>
      <c r="D106" s="5" t="n">
        <v>291.31</v>
      </c>
      <c r="E106" s="5" t="n">
        <v>269.29</v>
      </c>
      <c r="F106" s="5" t="n">
        <v>253.04</v>
      </c>
      <c r="G106" s="5" t="n">
        <v>288.54</v>
      </c>
      <c r="H106" s="5" t="n">
        <v>276.75</v>
      </c>
      <c r="I106" s="5" t="n">
        <v>260.85</v>
      </c>
      <c r="J106" s="5" t="n">
        <v>255.35</v>
      </c>
      <c r="K106" s="5" t="n">
        <v>266.69</v>
      </c>
      <c r="L106" s="5" t="n">
        <v>260.54</v>
      </c>
      <c r="M106" s="5" t="n">
        <v>287.94</v>
      </c>
      <c r="N106" s="5" t="n">
        <v>287.91</v>
      </c>
      <c r="O106" s="5">
        <f>SUM(C104:N104)</f>
        <v/>
      </c>
      <c r="P106" s="5" t="n">
        <v>306.66</v>
      </c>
      <c r="Q106" s="5" t="n">
        <v>299.85</v>
      </c>
      <c r="R106" s="5" t="n">
        <v>254.83</v>
      </c>
      <c r="S106" s="5" t="n">
        <v>259.43</v>
      </c>
      <c r="T106" s="5" t="n">
        <v>277.46</v>
      </c>
      <c r="U106" s="5" t="n">
        <v>293.08</v>
      </c>
      <c r="V106" s="5" t="n">
        <v>259.13</v>
      </c>
      <c r="W106" s="5" t="n">
        <v>271.56</v>
      </c>
      <c r="X106" s="5">
        <f>SUM(P104:W104)</f>
        <v/>
      </c>
      <c r="Y106" s="5">
        <f>SUM(C104:J104)</f>
        <v/>
      </c>
      <c r="Z106" s="5">
        <f>X104-Y104</f>
        <v/>
      </c>
    </row>
    <row r="107">
      <c r="A107" s="2" t="inlineStr">
        <is>
          <t>340.010</t>
        </is>
      </c>
      <c r="B107" s="2" t="inlineStr">
        <is>
          <t>Retribuzioni ordinarie dei dipendenti</t>
        </is>
      </c>
      <c r="C107" s="5" t="n">
        <v>38142.27</v>
      </c>
      <c r="D107" s="5" t="n">
        <v>35457.62</v>
      </c>
      <c r="E107" s="5" t="n">
        <v>36593.33</v>
      </c>
      <c r="F107" s="5" t="n">
        <v>39012.01</v>
      </c>
      <c r="G107" s="5" t="n">
        <v>36269.15</v>
      </c>
      <c r="H107" s="5" t="n">
        <v>67446.5</v>
      </c>
      <c r="I107" s="5" t="n">
        <v>36621.45</v>
      </c>
      <c r="J107" s="5" t="n">
        <v>36179.27</v>
      </c>
      <c r="K107" s="5" t="n">
        <v>37742.12</v>
      </c>
      <c r="L107" s="5" t="n">
        <v>35683.74</v>
      </c>
      <c r="M107" s="5" t="n">
        <v>34591.65</v>
      </c>
      <c r="N107" s="5" t="n">
        <v>72478.37</v>
      </c>
      <c r="O107" s="5">
        <f>SUM(C105:N105)</f>
        <v/>
      </c>
      <c r="P107" s="5" t="n">
        <v>40325.22</v>
      </c>
      <c r="Q107" s="5" t="n">
        <v>36995.82</v>
      </c>
      <c r="R107" s="5" t="n">
        <v>36006.03</v>
      </c>
      <c r="S107" s="5" t="n">
        <v>40409.6</v>
      </c>
      <c r="T107" s="5" t="n">
        <v>36490.79</v>
      </c>
      <c r="U107" s="5" t="n">
        <v>71733.53999999999</v>
      </c>
      <c r="V107" s="5" t="n">
        <v>38084.88</v>
      </c>
      <c r="W107" s="5" t="n">
        <v>37648.94</v>
      </c>
      <c r="X107" s="5">
        <f>SUM(P105:W105)</f>
        <v/>
      </c>
      <c r="Y107" s="5">
        <f>SUM(C105:J105)</f>
        <v/>
      </c>
      <c r="Z107" s="5">
        <f>X105-Y105</f>
        <v/>
      </c>
    </row>
    <row r="108">
      <c r="A108" s="2" t="inlineStr">
        <is>
          <t>340.020</t>
        </is>
      </c>
      <c r="B108" s="2" t="inlineStr">
        <is>
          <t>Mensilità aggiuntive: tredicesima e quattordicesima</t>
        </is>
      </c>
      <c r="C108" s="5" t="n">
        <v>7763.7</v>
      </c>
      <c r="D108" s="5" t="n">
        <v>7603.72</v>
      </c>
      <c r="E108" s="5" t="n">
        <v>8104.15</v>
      </c>
      <c r="F108" s="5" t="n">
        <v>8530.610000000001</v>
      </c>
      <c r="G108" s="5" t="n">
        <v>8272.059999999999</v>
      </c>
      <c r="H108" s="5" t="n">
        <v>17048.88</v>
      </c>
      <c r="I108" s="5" t="n">
        <v>8851.540000000001</v>
      </c>
      <c r="J108" s="5" t="n">
        <v>7842.16</v>
      </c>
      <c r="K108" s="5" t="n">
        <v>7512.9</v>
      </c>
      <c r="L108" s="5" t="n">
        <v>7765.51</v>
      </c>
      <c r="M108" s="5" t="n">
        <v>7967.3</v>
      </c>
      <c r="N108" s="5" t="n">
        <v>16247.52</v>
      </c>
      <c r="O108" s="5">
        <f>SUM(C106:N106)</f>
        <v/>
      </c>
      <c r="P108" s="5" t="n">
        <v>7769.87</v>
      </c>
      <c r="Q108" s="5" t="n">
        <v>7932.54</v>
      </c>
      <c r="R108" s="5" t="n">
        <v>7662.03</v>
      </c>
      <c r="S108" s="5" t="n">
        <v>9042</v>
      </c>
      <c r="T108" s="5" t="n">
        <v>8345.33</v>
      </c>
      <c r="U108" s="5" t="n">
        <v>16775.8</v>
      </c>
      <c r="V108" s="5" t="n">
        <v>9205.27</v>
      </c>
      <c r="W108" s="5" t="n">
        <v>8289.08</v>
      </c>
      <c r="X108" s="5">
        <f>SUM(P106:W106)</f>
        <v/>
      </c>
      <c r="Y108" s="5">
        <f>SUM(C106:J106)</f>
        <v/>
      </c>
      <c r="Z108" s="5">
        <f>X106-Y106</f>
        <v/>
      </c>
    </row>
    <row r="109">
      <c r="A109" s="2" t="inlineStr">
        <is>
          <t>340.030</t>
        </is>
      </c>
      <c r="B109" s="2" t="inlineStr">
        <is>
          <t>Straordinari e indennità di reperibilità</t>
        </is>
      </c>
      <c r="C109" s="5" t="n">
        <v>1996.26</v>
      </c>
      <c r="D109" s="5" t="n">
        <v>2169.38</v>
      </c>
      <c r="E109" s="5" t="n">
        <v>2144.9</v>
      </c>
      <c r="F109" s="5" t="n">
        <v>1989.31</v>
      </c>
      <c r="G109" s="5" t="n">
        <v>2333.31</v>
      </c>
      <c r="H109" s="5" t="n">
        <v>4511.24</v>
      </c>
      <c r="I109" s="5" t="n">
        <v>2020.21</v>
      </c>
      <c r="J109" s="5" t="n">
        <v>2187.57</v>
      </c>
      <c r="K109" s="5" t="n">
        <v>2278.51</v>
      </c>
      <c r="L109" s="5" t="n">
        <v>2205.13</v>
      </c>
      <c r="M109" s="5" t="n">
        <v>2114.89</v>
      </c>
      <c r="N109" s="5" t="n">
        <v>3937.63</v>
      </c>
      <c r="O109" s="5">
        <f>SUM(C107:N107)</f>
        <v/>
      </c>
      <c r="P109" s="5" t="n">
        <v>2015.47</v>
      </c>
      <c r="Q109" s="5" t="n">
        <v>2052.81</v>
      </c>
      <c r="R109" s="5" t="n">
        <v>2120.8</v>
      </c>
      <c r="S109" s="5" t="n">
        <v>2009.81</v>
      </c>
      <c r="T109" s="5" t="n">
        <v>2406.87</v>
      </c>
      <c r="U109" s="5" t="n">
        <v>4364.08</v>
      </c>
      <c r="V109" s="5" t="n">
        <v>1956</v>
      </c>
      <c r="W109" s="5" t="n">
        <v>2138.3</v>
      </c>
      <c r="X109" s="5">
        <f>SUM(P107:W107)</f>
        <v/>
      </c>
      <c r="Y109" s="5">
        <f>SUM(C107:J107)</f>
        <v/>
      </c>
      <c r="Z109" s="5">
        <f>X107-Y107</f>
        <v/>
      </c>
    </row>
    <row r="110">
      <c r="A110" s="2" t="inlineStr">
        <is>
          <t>340.040</t>
        </is>
      </c>
      <c r="B110" s="2" t="inlineStr">
        <is>
          <t>Premi di risultato al personale</t>
        </is>
      </c>
      <c r="C110" s="5" t="n">
        <v>3374.44</v>
      </c>
      <c r="D110" s="5" t="n">
        <v>3480.94</v>
      </c>
      <c r="E110" s="5" t="n">
        <v>3220.07</v>
      </c>
      <c r="F110" s="5" t="n">
        <v>3167.22</v>
      </c>
      <c r="G110" s="5" t="n">
        <v>3500.66</v>
      </c>
      <c r="H110" s="5" t="n">
        <v>6518.79</v>
      </c>
      <c r="I110" s="5" t="n">
        <v>3184.12</v>
      </c>
      <c r="J110" s="5" t="n">
        <v>3220.63</v>
      </c>
      <c r="K110" s="5" t="n">
        <v>3267.64</v>
      </c>
      <c r="L110" s="5" t="n">
        <v>3263.87</v>
      </c>
      <c r="M110" s="5" t="n">
        <v>3398</v>
      </c>
      <c r="N110" s="5" t="n">
        <v>6877.48</v>
      </c>
      <c r="O110" s="5">
        <f>SUM(C108:N108)</f>
        <v/>
      </c>
      <c r="P110" s="5" t="n">
        <v>3454.16</v>
      </c>
      <c r="Q110" s="5" t="n">
        <v>3445.52</v>
      </c>
      <c r="R110" s="5" t="n">
        <v>3284.49</v>
      </c>
      <c r="S110" s="5" t="n">
        <v>3092.96</v>
      </c>
      <c r="T110" s="5" t="n">
        <v>3506.78</v>
      </c>
      <c r="U110" s="5" t="n">
        <v>6448.99</v>
      </c>
      <c r="V110" s="5" t="n">
        <v>3113.73</v>
      </c>
      <c r="W110" s="5" t="n">
        <v>3253.74</v>
      </c>
      <c r="X110" s="5">
        <f>SUM(P108:W108)</f>
        <v/>
      </c>
      <c r="Y110" s="5">
        <f>SUM(C108:J108)</f>
        <v/>
      </c>
      <c r="Z110" s="5">
        <f>X108-Y108</f>
        <v/>
      </c>
    </row>
    <row r="111">
      <c r="A111" s="2" t="inlineStr">
        <is>
          <t>340.050</t>
        </is>
      </c>
      <c r="B111" s="2" t="inlineStr">
        <is>
          <t>Ferie, permessi e ratei maturati e non goduti</t>
        </is>
      </c>
      <c r="C111" s="5" t="n">
        <v>2499.71</v>
      </c>
      <c r="D111" s="5" t="n">
        <v>2062.19</v>
      </c>
      <c r="E111" s="5" t="n">
        <v>2238.28</v>
      </c>
      <c r="F111" s="5" t="n">
        <v>2302.72</v>
      </c>
      <c r="G111" s="5" t="n">
        <v>2172.25</v>
      </c>
      <c r="H111" s="5" t="n">
        <v>4718.16</v>
      </c>
      <c r="I111" s="5" t="n">
        <v>2390.83</v>
      </c>
      <c r="J111" s="5" t="n">
        <v>2244.6</v>
      </c>
      <c r="K111" s="5" t="n">
        <v>2381.47</v>
      </c>
      <c r="L111" s="5" t="n">
        <v>2307.9</v>
      </c>
      <c r="M111" s="5" t="n">
        <v>2226.51</v>
      </c>
      <c r="N111" s="5" t="n">
        <v>4152.36</v>
      </c>
      <c r="O111" s="5">
        <f>SUM(C109:N109)</f>
        <v/>
      </c>
      <c r="P111" s="5" t="n">
        <v>2402.58</v>
      </c>
      <c r="Q111" s="5" t="n">
        <v>2160.53</v>
      </c>
      <c r="R111" s="5" t="n">
        <v>2110.68</v>
      </c>
      <c r="S111" s="5" t="n">
        <v>2385.87</v>
      </c>
      <c r="T111" s="5" t="n">
        <v>2287.23</v>
      </c>
      <c r="U111" s="5" t="n">
        <v>4610.9</v>
      </c>
      <c r="V111" s="5" t="n">
        <v>2472.2</v>
      </c>
      <c r="W111" s="5" t="n">
        <v>2270.27</v>
      </c>
      <c r="X111" s="5">
        <f>SUM(P109:W109)</f>
        <v/>
      </c>
      <c r="Y111" s="5">
        <f>SUM(C109:J109)</f>
        <v/>
      </c>
      <c r="Z111" s="5">
        <f>X109-Y109</f>
        <v/>
      </c>
    </row>
    <row r="112">
      <c r="A112" s="2" t="inlineStr">
        <is>
          <t>341.010</t>
        </is>
      </c>
      <c r="B112" s="2" t="inlineStr">
        <is>
          <t>Oneri sociali: contributi INPS a carico dell'azienda</t>
        </is>
      </c>
      <c r="C112" s="5" t="n">
        <v>11706.65</v>
      </c>
      <c r="D112" s="5" t="n">
        <v>13806.09</v>
      </c>
      <c r="E112" s="5" t="n">
        <v>13230.75</v>
      </c>
      <c r="F112" s="5" t="n">
        <v>11773</v>
      </c>
      <c r="G112" s="5" t="n">
        <v>13297.66</v>
      </c>
      <c r="H112" s="5" t="n">
        <v>26858.26</v>
      </c>
      <c r="I112" s="5" t="n">
        <v>13514.75</v>
      </c>
      <c r="J112" s="5" t="n">
        <v>13210.16</v>
      </c>
      <c r="K112" s="5" t="n">
        <v>12750.12</v>
      </c>
      <c r="L112" s="5" t="n">
        <v>13530.24</v>
      </c>
      <c r="M112" s="5" t="n">
        <v>12916.9</v>
      </c>
      <c r="N112" s="5" t="n">
        <v>23901.66</v>
      </c>
      <c r="O112" s="5">
        <f>SUM(C110:N110)</f>
        <v/>
      </c>
      <c r="P112" s="5" t="n">
        <v>12005.69</v>
      </c>
      <c r="Q112" s="5" t="n">
        <v>13913.06</v>
      </c>
      <c r="R112" s="5" t="n">
        <v>12613.28</v>
      </c>
      <c r="S112" s="5" t="n">
        <v>11980.86</v>
      </c>
      <c r="T112" s="5" t="n">
        <v>12817.72</v>
      </c>
      <c r="U112" s="5" t="n">
        <v>26175.63</v>
      </c>
      <c r="V112" s="5" t="n">
        <v>13990.63</v>
      </c>
      <c r="W112" s="5" t="n">
        <v>12551.4</v>
      </c>
      <c r="X112" s="5">
        <f>SUM(P110:W110)</f>
        <v/>
      </c>
      <c r="Y112" s="5">
        <f>SUM(C110:J110)</f>
        <v/>
      </c>
      <c r="Z112" s="5">
        <f>X110-Y110</f>
        <v/>
      </c>
    </row>
    <row r="113">
      <c r="A113" s="2" t="inlineStr">
        <is>
          <t>341.020</t>
        </is>
      </c>
      <c r="B113" s="2" t="inlineStr">
        <is>
          <t>Oneri sociali: premi INAIL</t>
        </is>
      </c>
      <c r="C113" s="5" t="n">
        <v>1210.28</v>
      </c>
      <c r="D113" s="5" t="n">
        <v>1308.25</v>
      </c>
      <c r="E113" s="5" t="n">
        <v>1268.68</v>
      </c>
      <c r="F113" s="5" t="n">
        <v>1213.18</v>
      </c>
      <c r="G113" s="5" t="n">
        <v>1264.52</v>
      </c>
      <c r="H113" s="5" t="n">
        <v>2704.01</v>
      </c>
      <c r="I113" s="5" t="n">
        <v>1198.29</v>
      </c>
      <c r="J113" s="5" t="n">
        <v>1175.45</v>
      </c>
      <c r="K113" s="5" t="n">
        <v>1231.9</v>
      </c>
      <c r="L113" s="5" t="n">
        <v>1214.18</v>
      </c>
      <c r="M113" s="5" t="n">
        <v>1175.71</v>
      </c>
      <c r="N113" s="5" t="n">
        <v>2593.22</v>
      </c>
      <c r="O113" s="5">
        <f>SUM(C111:N111)</f>
        <v/>
      </c>
      <c r="P113" s="5" t="n">
        <v>1292.63</v>
      </c>
      <c r="Q113" s="5" t="n">
        <v>1320.59</v>
      </c>
      <c r="R113" s="5" t="n">
        <v>1241.59</v>
      </c>
      <c r="S113" s="5" t="n">
        <v>1195.71</v>
      </c>
      <c r="T113" s="5" t="n">
        <v>1204.54</v>
      </c>
      <c r="U113" s="5" t="n">
        <v>2778.37</v>
      </c>
      <c r="V113" s="5" t="n">
        <v>1254.93</v>
      </c>
      <c r="W113" s="5" t="n">
        <v>1248.1</v>
      </c>
      <c r="X113" s="5">
        <f>SUM(P111:W111)</f>
        <v/>
      </c>
      <c r="Y113" s="5">
        <f>SUM(C111:J111)</f>
        <v/>
      </c>
      <c r="Z113" s="5">
        <f>X111-Y111</f>
        <v/>
      </c>
    </row>
    <row r="114">
      <c r="A114" s="2" t="inlineStr">
        <is>
          <t>341.030</t>
        </is>
      </c>
      <c r="B114" s="2" t="inlineStr">
        <is>
          <t>Oneri sociali: contributi a fondi di previdenza e assistenza (Fondo Est)</t>
        </is>
      </c>
      <c r="C114" s="5" t="n">
        <v>886.97</v>
      </c>
      <c r="D114" s="5" t="n">
        <v>904.86</v>
      </c>
      <c r="E114" s="5" t="n">
        <v>864.23</v>
      </c>
      <c r="F114" s="5" t="n">
        <v>857.66</v>
      </c>
      <c r="G114" s="5" t="n">
        <v>867.87</v>
      </c>
      <c r="H114" s="5" t="n">
        <v>1645.59</v>
      </c>
      <c r="I114" s="5" t="n">
        <v>947.26</v>
      </c>
      <c r="J114" s="5" t="n">
        <v>899.9</v>
      </c>
      <c r="K114" s="5" t="n">
        <v>837.65</v>
      </c>
      <c r="L114" s="5" t="n">
        <v>909.85</v>
      </c>
      <c r="M114" s="5" t="n">
        <v>879.38</v>
      </c>
      <c r="N114" s="5" t="n">
        <v>1735.35</v>
      </c>
      <c r="O114" s="5">
        <f>SUM(C112:N112)</f>
        <v/>
      </c>
      <c r="P114" s="5" t="n">
        <v>886.3</v>
      </c>
      <c r="Q114" s="5" t="n">
        <v>891.88</v>
      </c>
      <c r="R114" s="5" t="n">
        <v>911.1900000000001</v>
      </c>
      <c r="S114" s="5" t="n">
        <v>872.65</v>
      </c>
      <c r="T114" s="5" t="n">
        <v>835.89</v>
      </c>
      <c r="U114" s="5" t="n">
        <v>1718.31</v>
      </c>
      <c r="V114" s="5" t="n">
        <v>960.74</v>
      </c>
      <c r="W114" s="5" t="n">
        <v>917.3099999999999</v>
      </c>
      <c r="X114" s="5">
        <f>SUM(P112:W112)</f>
        <v/>
      </c>
      <c r="Y114" s="5">
        <f>SUM(C112:J112)</f>
        <v/>
      </c>
      <c r="Z114" s="5">
        <f>X112-Y112</f>
        <v/>
      </c>
    </row>
    <row r="115">
      <c r="A115" s="2" t="inlineStr">
        <is>
          <t>341.040</t>
        </is>
      </c>
      <c r="B115" s="2" t="inlineStr">
        <is>
          <t>Oneri sociali su mensilità aggiuntive e ratei</t>
        </is>
      </c>
      <c r="C115" s="5" t="n">
        <v>448.07</v>
      </c>
      <c r="D115" s="5" t="n">
        <v>475.54</v>
      </c>
      <c r="E115" s="5" t="n">
        <v>501.81</v>
      </c>
      <c r="F115" s="5" t="n">
        <v>494.61</v>
      </c>
      <c r="G115" s="5" t="n">
        <v>464.39</v>
      </c>
      <c r="H115" s="5" t="n">
        <v>962.11</v>
      </c>
      <c r="I115" s="5" t="n">
        <v>514.89</v>
      </c>
      <c r="J115" s="5" t="n">
        <v>449.98</v>
      </c>
      <c r="K115" s="5" t="n">
        <v>485.01</v>
      </c>
      <c r="L115" s="5" t="n">
        <v>470.95</v>
      </c>
      <c r="M115" s="5" t="n">
        <v>513.4299999999999</v>
      </c>
      <c r="N115" s="5" t="n">
        <v>869.61</v>
      </c>
      <c r="O115" s="5">
        <f>SUM(C113:N113)</f>
        <v/>
      </c>
      <c r="P115" s="5" t="n">
        <v>441.06</v>
      </c>
      <c r="Q115" s="5" t="n">
        <v>459.31</v>
      </c>
      <c r="R115" s="5" t="n">
        <v>513.92</v>
      </c>
      <c r="S115" s="5" t="n">
        <v>526.76</v>
      </c>
      <c r="T115" s="5" t="n">
        <v>492.12</v>
      </c>
      <c r="U115" s="5" t="n">
        <v>959.89</v>
      </c>
      <c r="V115" s="5" t="n">
        <v>515.2</v>
      </c>
      <c r="W115" s="5" t="n">
        <v>478.41</v>
      </c>
      <c r="X115" s="5">
        <f>SUM(P113:W113)</f>
        <v/>
      </c>
      <c r="Y115" s="5">
        <f>SUM(C113:J113)</f>
        <v/>
      </c>
      <c r="Z115" s="5">
        <f>X113-Y113</f>
        <v/>
      </c>
    </row>
    <row r="116">
      <c r="A116" s="2" t="inlineStr">
        <is>
          <t>342.010</t>
        </is>
      </c>
      <c r="B116" s="2" t="inlineStr">
        <is>
          <t>Trattamento di fine rapporto: quota accantonata in azienda</t>
        </is>
      </c>
      <c r="C116" s="5" t="n">
        <v>2926.15</v>
      </c>
      <c r="D116" s="5" t="n">
        <v>2756.03</v>
      </c>
      <c r="E116" s="5" t="n">
        <v>2872.71</v>
      </c>
      <c r="F116" s="5" t="n">
        <v>2446.15</v>
      </c>
      <c r="G116" s="5" t="n">
        <v>2664.94</v>
      </c>
      <c r="H116" s="5" t="n">
        <v>2868.35</v>
      </c>
      <c r="I116" s="5" t="n">
        <v>2769.08</v>
      </c>
      <c r="J116" s="5" t="n">
        <v>2755.45</v>
      </c>
      <c r="K116" s="5" t="n">
        <v>2426.57</v>
      </c>
      <c r="L116" s="5" t="n">
        <v>2757.67</v>
      </c>
      <c r="M116" s="5" t="n">
        <v>2671.64</v>
      </c>
      <c r="N116" s="5" t="n">
        <v>2850.26</v>
      </c>
      <c r="O116" s="5">
        <f>SUM(C114:N114)</f>
        <v/>
      </c>
      <c r="P116" s="5" t="n">
        <v>3117.88</v>
      </c>
      <c r="Q116" s="5" t="n">
        <v>2590.86</v>
      </c>
      <c r="R116" s="5" t="n">
        <v>2927.8</v>
      </c>
      <c r="S116" s="5" t="n">
        <v>2616.42</v>
      </c>
      <c r="T116" s="5" t="n">
        <v>2542.35</v>
      </c>
      <c r="U116" s="5" t="n">
        <v>2970.26</v>
      </c>
      <c r="V116" s="5" t="n">
        <v>2660.52</v>
      </c>
      <c r="W116" s="5" t="n">
        <v>2886.96</v>
      </c>
      <c r="X116" s="5">
        <f>SUM(P114:W114)</f>
        <v/>
      </c>
      <c r="Y116" s="5">
        <f>SUM(C114:J114)</f>
        <v/>
      </c>
      <c r="Z116" s="5">
        <f>X114-Y114</f>
        <v/>
      </c>
    </row>
    <row r="117">
      <c r="A117" s="2" t="inlineStr">
        <is>
          <t>342.020</t>
        </is>
      </c>
      <c r="B117" s="2" t="inlineStr">
        <is>
          <t>Trattamento di fine rapporto: quota versata al Fondo di Tesoreria INPS</t>
        </is>
      </c>
      <c r="C117" s="5" t="n">
        <v>1197.44</v>
      </c>
      <c r="D117" s="5" t="n">
        <v>1158.65</v>
      </c>
      <c r="E117" s="5" t="n">
        <v>1157.73</v>
      </c>
      <c r="F117" s="5" t="n">
        <v>1261.51</v>
      </c>
      <c r="G117" s="5" t="n">
        <v>1207.46</v>
      </c>
      <c r="H117" s="5" t="n">
        <v>1266.45</v>
      </c>
      <c r="I117" s="5" t="n">
        <v>1249.47</v>
      </c>
      <c r="J117" s="5" t="n">
        <v>1174.75</v>
      </c>
      <c r="K117" s="5" t="n">
        <v>1247.67</v>
      </c>
      <c r="L117" s="5" t="n">
        <v>1317.89</v>
      </c>
      <c r="M117" s="5" t="n">
        <v>1262.87</v>
      </c>
      <c r="N117" s="5" t="n">
        <v>1304.64</v>
      </c>
      <c r="O117" s="5">
        <f>SUM(C115:N115)</f>
        <v/>
      </c>
      <c r="P117" s="5" t="n">
        <v>1195.31</v>
      </c>
      <c r="Q117" s="5" t="n">
        <v>1203.97</v>
      </c>
      <c r="R117" s="5" t="n">
        <v>1215.16</v>
      </c>
      <c r="S117" s="5" t="n">
        <v>1287.44</v>
      </c>
      <c r="T117" s="5" t="n">
        <v>1238.47</v>
      </c>
      <c r="U117" s="5" t="n">
        <v>1205.78</v>
      </c>
      <c r="V117" s="5" t="n">
        <v>1299.51</v>
      </c>
      <c r="W117" s="5" t="n">
        <v>1246.76</v>
      </c>
      <c r="X117" s="5">
        <f>SUM(P115:W115)</f>
        <v/>
      </c>
      <c r="Y117" s="5">
        <f>SUM(C115:J115)</f>
        <v/>
      </c>
      <c r="Z117" s="5">
        <f>X115-Y115</f>
        <v/>
      </c>
    </row>
    <row r="118">
      <c r="A118" s="2" t="inlineStr">
        <is>
          <t>342.030</t>
        </is>
      </c>
      <c r="B118" s="2" t="inlineStr">
        <is>
          <t>Trattamento di fine rapporto: quota versata a previdenza complementare</t>
        </is>
      </c>
      <c r="C118" s="5" t="n">
        <v>438.84</v>
      </c>
      <c r="D118" s="5" t="n">
        <v>417.05</v>
      </c>
      <c r="E118" s="5" t="n">
        <v>429.64</v>
      </c>
      <c r="F118" s="5" t="n">
        <v>399.97</v>
      </c>
      <c r="G118" s="5" t="n">
        <v>471.63</v>
      </c>
      <c r="H118" s="5" t="n">
        <v>466.04</v>
      </c>
      <c r="I118" s="5" t="n">
        <v>408.34</v>
      </c>
      <c r="J118" s="5" t="n">
        <v>435.97</v>
      </c>
      <c r="K118" s="5" t="n">
        <v>426.43</v>
      </c>
      <c r="L118" s="5" t="n">
        <v>396.45</v>
      </c>
      <c r="M118" s="5" t="n">
        <v>459.38</v>
      </c>
      <c r="N118" s="5" t="n">
        <v>408.62</v>
      </c>
      <c r="O118" s="5">
        <f>SUM(C116:N116)</f>
        <v/>
      </c>
      <c r="P118" s="5" t="n">
        <v>463.92</v>
      </c>
      <c r="Q118" s="5" t="n">
        <v>393.59</v>
      </c>
      <c r="R118" s="5" t="n">
        <v>446.31</v>
      </c>
      <c r="S118" s="5" t="n">
        <v>423.14</v>
      </c>
      <c r="T118" s="5" t="n">
        <v>478.37</v>
      </c>
      <c r="U118" s="5" t="n">
        <v>462.7</v>
      </c>
      <c r="V118" s="5" t="n">
        <v>419.23</v>
      </c>
      <c r="W118" s="5" t="n">
        <v>448.48</v>
      </c>
      <c r="X118" s="5">
        <f>SUM(P116:W116)</f>
        <v/>
      </c>
      <c r="Y118" s="5">
        <f>SUM(C116:J116)</f>
        <v/>
      </c>
      <c r="Z118" s="5">
        <f>X116-Y116</f>
        <v/>
      </c>
    </row>
    <row r="119">
      <c r="A119" s="2" t="inlineStr">
        <is>
          <t>343.010</t>
        </is>
      </c>
      <c r="B119" s="2" t="inlineStr">
        <is>
          <t>Buoni pasto al personale</t>
        </is>
      </c>
      <c r="C119" s="5" t="n">
        <v>497.34</v>
      </c>
      <c r="D119" s="5" t="n">
        <v>583.92</v>
      </c>
      <c r="E119" s="5" t="n">
        <v>508.54</v>
      </c>
      <c r="F119" s="5" t="n">
        <v>522.7</v>
      </c>
      <c r="G119" s="5" t="n">
        <v>506.95</v>
      </c>
      <c r="H119" s="5" t="n">
        <v>584.58</v>
      </c>
      <c r="I119" s="5" t="n">
        <v>497.98</v>
      </c>
      <c r="J119" s="5" t="n">
        <v>513.64</v>
      </c>
      <c r="K119" s="5" t="n">
        <v>501.01</v>
      </c>
      <c r="L119" s="5" t="n">
        <v>529.64</v>
      </c>
      <c r="M119" s="5" t="n">
        <v>555.08</v>
      </c>
      <c r="N119" s="5" t="n">
        <v>509.91</v>
      </c>
      <c r="O119" s="5">
        <f>SUM(C117:N117)</f>
        <v/>
      </c>
      <c r="P119" s="5" t="n">
        <v>502.24</v>
      </c>
      <c r="Q119" s="5" t="n">
        <v>565.27</v>
      </c>
      <c r="R119" s="5" t="n">
        <v>485.41</v>
      </c>
      <c r="S119" s="5" t="n">
        <v>529.3099999999999</v>
      </c>
      <c r="T119" s="5" t="n">
        <v>502.55</v>
      </c>
      <c r="U119" s="5" t="n">
        <v>598.45</v>
      </c>
      <c r="V119" s="5" t="n">
        <v>478.03</v>
      </c>
      <c r="W119" s="5" t="n">
        <v>517.67</v>
      </c>
      <c r="X119" s="5">
        <f>SUM(P117:W117)</f>
        <v/>
      </c>
      <c r="Y119" s="5">
        <f>SUM(C117:J117)</f>
        <v/>
      </c>
      <c r="Z119" s="5">
        <f>X117-Y117</f>
        <v/>
      </c>
    </row>
    <row r="120">
      <c r="A120" s="2" t="inlineStr">
        <is>
          <t>343.020</t>
        </is>
      </c>
      <c r="B120" s="2" t="inlineStr">
        <is>
          <t>Welfare aziendale: assistenza sanitaria integrativa del personale</t>
        </is>
      </c>
      <c r="C120" s="5" t="n">
        <v>453.33</v>
      </c>
      <c r="D120" s="5" t="n">
        <v>415.22</v>
      </c>
      <c r="E120" s="5" t="n">
        <v>429.31</v>
      </c>
      <c r="F120" s="5" t="n">
        <v>449.16</v>
      </c>
      <c r="G120" s="5" t="n">
        <v>428.01</v>
      </c>
      <c r="H120" s="5" t="n">
        <v>454.56</v>
      </c>
      <c r="I120" s="5" t="n">
        <v>416.58</v>
      </c>
      <c r="J120" s="5" t="n">
        <v>469.23</v>
      </c>
      <c r="K120" s="5" t="n">
        <v>398.29</v>
      </c>
      <c r="L120" s="5" t="n">
        <v>394.45</v>
      </c>
      <c r="M120" s="5" t="n">
        <v>443.64</v>
      </c>
      <c r="N120" s="5" t="n">
        <v>398.98</v>
      </c>
      <c r="O120" s="5">
        <f>SUM(C118:N118)</f>
        <v/>
      </c>
      <c r="P120" s="5" t="n">
        <v>478.63</v>
      </c>
      <c r="Q120" s="5" t="n">
        <v>417.39</v>
      </c>
      <c r="R120" s="5" t="n">
        <v>438.11</v>
      </c>
      <c r="S120" s="5" t="n">
        <v>432.03</v>
      </c>
      <c r="T120" s="5" t="n">
        <v>453.79</v>
      </c>
      <c r="U120" s="5" t="n">
        <v>465.32</v>
      </c>
      <c r="V120" s="5" t="n">
        <v>422.34</v>
      </c>
      <c r="W120" s="5" t="n">
        <v>468.95</v>
      </c>
      <c r="X120" s="5">
        <f>SUM(P118:W118)</f>
        <v/>
      </c>
      <c r="Y120" s="5">
        <f>SUM(C118:J118)</f>
        <v/>
      </c>
      <c r="Z120" s="5">
        <f>X118-Y118</f>
        <v/>
      </c>
    </row>
    <row r="121">
      <c r="A121" s="2" t="inlineStr">
        <is>
          <t>343.030</t>
        </is>
      </c>
      <c r="B121" s="2" t="inlineStr">
        <is>
          <t>Altri costi del personale: abbonamenti di trasporto e rimborsi</t>
        </is>
      </c>
      <c r="C121" s="5" t="n">
        <v>233.12</v>
      </c>
      <c r="D121" s="5" t="n">
        <v>215.12</v>
      </c>
      <c r="E121" s="5" t="n">
        <v>240.37</v>
      </c>
      <c r="F121" s="5" t="n">
        <v>234.39</v>
      </c>
      <c r="G121" s="5" t="n">
        <v>227.95</v>
      </c>
      <c r="H121" s="5" t="n">
        <v>250.68</v>
      </c>
      <c r="I121" s="5" t="n">
        <v>228.06</v>
      </c>
      <c r="J121" s="5" t="n">
        <v>241.61</v>
      </c>
      <c r="K121" s="5" t="n">
        <v>243.35</v>
      </c>
      <c r="L121" s="5" t="n">
        <v>228.84</v>
      </c>
      <c r="M121" s="5" t="n">
        <v>226.84</v>
      </c>
      <c r="N121" s="5" t="n">
        <v>212.51</v>
      </c>
      <c r="O121" s="5">
        <f>SUM(C119:N119)</f>
        <v/>
      </c>
      <c r="P121" s="5" t="n">
        <v>237.62</v>
      </c>
      <c r="Q121" s="5" t="n">
        <v>224.46</v>
      </c>
      <c r="R121" s="5" t="n">
        <v>255.35</v>
      </c>
      <c r="S121" s="5" t="n">
        <v>240.97</v>
      </c>
      <c r="T121" s="5" t="n">
        <v>238.72</v>
      </c>
      <c r="U121" s="5" t="n">
        <v>256.22</v>
      </c>
      <c r="V121" s="5" t="n">
        <v>219.94</v>
      </c>
      <c r="W121" s="5" t="n">
        <v>234.78</v>
      </c>
      <c r="X121" s="5">
        <f>SUM(P119:W119)</f>
        <v/>
      </c>
      <c r="Y121" s="5">
        <f>SUM(C119:J119)</f>
        <v/>
      </c>
      <c r="Z121" s="5">
        <f>X119-Y119</f>
        <v/>
      </c>
    </row>
    <row r="122">
      <c r="A122" s="2" t="inlineStr">
        <is>
          <t>343.040</t>
        </is>
      </c>
      <c r="B122" s="2" t="inlineStr">
        <is>
          <t>Altri costi del personale: visite mediche e sicurezza</t>
        </is>
      </c>
      <c r="C122" s="5" t="n">
        <v>170.69</v>
      </c>
      <c r="D122" s="5" t="n">
        <v>147.38</v>
      </c>
      <c r="E122" s="5" t="n">
        <v>142.43</v>
      </c>
      <c r="F122" s="5" t="n">
        <v>150.55</v>
      </c>
      <c r="G122" s="5" t="n">
        <v>142.9</v>
      </c>
      <c r="H122" s="5" t="n">
        <v>146.11</v>
      </c>
      <c r="I122" s="5" t="n">
        <v>148</v>
      </c>
      <c r="J122" s="5" t="n">
        <v>156.39</v>
      </c>
      <c r="K122" s="5" t="n">
        <v>167.95</v>
      </c>
      <c r="L122" s="5" t="n">
        <v>166.11</v>
      </c>
      <c r="M122" s="5" t="n">
        <v>146.96</v>
      </c>
      <c r="N122" s="5" t="n">
        <v>160.89</v>
      </c>
      <c r="O122" s="5">
        <f>SUM(C120:N120)</f>
        <v/>
      </c>
      <c r="P122" s="5" t="n">
        <v>171.54</v>
      </c>
      <c r="Q122" s="5" t="n">
        <v>148.78</v>
      </c>
      <c r="R122" s="5" t="n">
        <v>142.75</v>
      </c>
      <c r="S122" s="5" t="n">
        <v>147.71</v>
      </c>
      <c r="T122" s="5" t="n">
        <v>141.98</v>
      </c>
      <c r="U122" s="5" t="n">
        <v>146.71</v>
      </c>
      <c r="V122" s="5" t="n">
        <v>140.47</v>
      </c>
      <c r="W122" s="5" t="n">
        <v>152.61</v>
      </c>
      <c r="X122" s="5">
        <f>SUM(P120:W120)</f>
        <v/>
      </c>
      <c r="Y122" s="5">
        <f>SUM(C120:J120)</f>
        <v/>
      </c>
      <c r="Z122" s="5">
        <f>X120-Y120</f>
        <v/>
      </c>
    </row>
    <row r="123">
      <c r="A123" s="2" t="inlineStr">
        <is>
          <t>350.010</t>
        </is>
      </c>
      <c r="B123" s="2" t="inlineStr">
        <is>
          <t>Ammortamento costi di sviluppo</t>
        </is>
      </c>
      <c r="C123" s="5" t="n">
        <v>1353.16</v>
      </c>
      <c r="D123" s="5" t="n">
        <v>1389.66</v>
      </c>
      <c r="E123" s="5" t="n">
        <v>1317.37</v>
      </c>
      <c r="F123" s="5" t="n">
        <v>1360.74</v>
      </c>
      <c r="G123" s="5" t="n">
        <v>1357.34</v>
      </c>
      <c r="H123" s="5" t="n">
        <v>1248.06</v>
      </c>
      <c r="I123" s="5" t="n">
        <v>1397.15</v>
      </c>
      <c r="J123" s="5" t="n">
        <v>1299.03</v>
      </c>
      <c r="K123" s="5" t="n">
        <v>1250.87</v>
      </c>
      <c r="L123" s="5" t="n">
        <v>1440.44</v>
      </c>
      <c r="M123" s="5" t="n">
        <v>1446.29</v>
      </c>
      <c r="N123" s="5" t="n">
        <v>1445.75</v>
      </c>
      <c r="O123" s="5">
        <f>SUM(C121:N121)</f>
        <v/>
      </c>
      <c r="P123" s="5" t="n">
        <v>1343.37</v>
      </c>
      <c r="Q123" s="5" t="n">
        <v>1419.83</v>
      </c>
      <c r="R123" s="5" t="n">
        <v>1348.69</v>
      </c>
      <c r="S123" s="5" t="n">
        <v>1371.85</v>
      </c>
      <c r="T123" s="5" t="n">
        <v>1287.5</v>
      </c>
      <c r="U123" s="5" t="n">
        <v>1178.18</v>
      </c>
      <c r="V123" s="5" t="n">
        <v>1331.91</v>
      </c>
      <c r="W123" s="5" t="n">
        <v>1284.56</v>
      </c>
      <c r="X123" s="5">
        <f>SUM(P121:W121)</f>
        <v/>
      </c>
      <c r="Y123" s="5">
        <f>SUM(C121:J121)</f>
        <v/>
      </c>
      <c r="Z123" s="5">
        <f>X121-Y121</f>
        <v/>
      </c>
    </row>
    <row r="124">
      <c r="A124" s="2" t="inlineStr">
        <is>
          <t>350.020</t>
        </is>
      </c>
      <c r="B124" s="2" t="inlineStr">
        <is>
          <t>Ammortamento diritti di utilizzazione di opere dell'ingegno (software applicativo)</t>
        </is>
      </c>
      <c r="C124" s="5" t="n">
        <v>364.34</v>
      </c>
      <c r="D124" s="5" t="n">
        <v>377.07</v>
      </c>
      <c r="E124" s="5" t="n">
        <v>413.16</v>
      </c>
      <c r="F124" s="5" t="n">
        <v>410.12</v>
      </c>
      <c r="G124" s="5" t="n">
        <v>370.13</v>
      </c>
      <c r="H124" s="5" t="n">
        <v>360.23</v>
      </c>
      <c r="I124" s="5" t="n">
        <v>354.59</v>
      </c>
      <c r="J124" s="5" t="n">
        <v>429.2</v>
      </c>
      <c r="K124" s="5" t="n">
        <v>369.8</v>
      </c>
      <c r="L124" s="5" t="n">
        <v>414</v>
      </c>
      <c r="M124" s="5" t="n">
        <v>369.89</v>
      </c>
      <c r="N124" s="5" t="n">
        <v>421.67</v>
      </c>
      <c r="O124" s="5">
        <f>SUM(C122:N122)</f>
        <v/>
      </c>
      <c r="P124" s="5" t="n">
        <v>366.68</v>
      </c>
      <c r="Q124" s="5" t="n">
        <v>371.13</v>
      </c>
      <c r="R124" s="5" t="n">
        <v>435.74</v>
      </c>
      <c r="S124" s="5" t="n">
        <v>436.37</v>
      </c>
      <c r="T124" s="5" t="n">
        <v>352.3</v>
      </c>
      <c r="U124" s="5" t="n">
        <v>370.31</v>
      </c>
      <c r="V124" s="5" t="n">
        <v>370.91</v>
      </c>
      <c r="W124" s="5" t="n">
        <v>427.18</v>
      </c>
      <c r="X124" s="5">
        <f>SUM(P122:W122)</f>
        <v/>
      </c>
      <c r="Y124" s="5">
        <f>SUM(C122:J122)</f>
        <v/>
      </c>
      <c r="Z124" s="5">
        <f>X122-Y122</f>
        <v/>
      </c>
    </row>
    <row r="125">
      <c r="A125" s="2" t="inlineStr">
        <is>
          <t>350.030</t>
        </is>
      </c>
      <c r="B125" s="2" t="inlineStr">
        <is>
          <t>Ammortamento concessioni, licenze, marchi e diritti simili</t>
        </is>
      </c>
      <c r="C125" s="5" t="n">
        <v>81.45</v>
      </c>
      <c r="D125" s="5" t="n">
        <v>73.62</v>
      </c>
      <c r="E125" s="5" t="n">
        <v>76.76000000000001</v>
      </c>
      <c r="F125" s="5" t="n">
        <v>73.47</v>
      </c>
      <c r="G125" s="5" t="n">
        <v>73.26000000000001</v>
      </c>
      <c r="H125" s="5" t="n">
        <v>84.37</v>
      </c>
      <c r="I125" s="5" t="n">
        <v>73.90000000000001</v>
      </c>
      <c r="J125" s="5" t="n">
        <v>75.97</v>
      </c>
      <c r="K125" s="5" t="n">
        <v>82.98</v>
      </c>
      <c r="L125" s="5" t="n">
        <v>74.56</v>
      </c>
      <c r="M125" s="5" t="n">
        <v>85.81999999999999</v>
      </c>
      <c r="N125" s="5" t="n">
        <v>73.36</v>
      </c>
      <c r="O125" s="5">
        <f>SUM(C123:N123)</f>
        <v/>
      </c>
      <c r="P125" s="5" t="n">
        <v>85.69</v>
      </c>
      <c r="Q125" s="5" t="n">
        <v>77.78</v>
      </c>
      <c r="R125" s="5" t="n">
        <v>80.34999999999999</v>
      </c>
      <c r="S125" s="5" t="n">
        <v>76.98999999999999</v>
      </c>
      <c r="T125" s="5" t="n">
        <v>72</v>
      </c>
      <c r="U125" s="5" t="n">
        <v>82.53</v>
      </c>
      <c r="V125" s="5" t="n">
        <v>76.48999999999999</v>
      </c>
      <c r="W125" s="5" t="n">
        <v>73.54000000000001</v>
      </c>
      <c r="X125" s="5">
        <f>SUM(P123:W123)</f>
        <v/>
      </c>
      <c r="Y125" s="5">
        <f>SUM(C123:J123)</f>
        <v/>
      </c>
      <c r="Z125" s="5">
        <f>X123-Y123</f>
        <v/>
      </c>
    </row>
    <row r="126">
      <c r="A126" s="2" t="inlineStr">
        <is>
          <t>350.040</t>
        </is>
      </c>
      <c r="B126" s="2" t="inlineStr">
        <is>
          <t>Ammortamento altre immobilizzazioni immateriali (migliorie su beni di terzi)</t>
        </is>
      </c>
      <c r="C126" s="5" t="n">
        <v>115.37</v>
      </c>
      <c r="D126" s="5" t="n">
        <v>111.62</v>
      </c>
      <c r="E126" s="5" t="n">
        <v>126.17</v>
      </c>
      <c r="F126" s="5" t="n">
        <v>127.08</v>
      </c>
      <c r="G126" s="5" t="n">
        <v>125.92</v>
      </c>
      <c r="H126" s="5" t="n">
        <v>109.78</v>
      </c>
      <c r="I126" s="5" t="n">
        <v>106.01</v>
      </c>
      <c r="J126" s="5" t="n">
        <v>121.53</v>
      </c>
      <c r="K126" s="5" t="n">
        <v>112.79</v>
      </c>
      <c r="L126" s="5" t="n">
        <v>110.04</v>
      </c>
      <c r="M126" s="5" t="n">
        <v>116.5</v>
      </c>
      <c r="N126" s="5" t="n">
        <v>112.49</v>
      </c>
      <c r="O126" s="5">
        <f>SUM(C124:N124)</f>
        <v/>
      </c>
      <c r="P126" s="5" t="n">
        <v>121.04</v>
      </c>
      <c r="Q126" s="5" t="n">
        <v>114.88</v>
      </c>
      <c r="R126" s="5" t="n">
        <v>132.5</v>
      </c>
      <c r="S126" s="5" t="n">
        <v>124.66</v>
      </c>
      <c r="T126" s="5" t="n">
        <v>122.39</v>
      </c>
      <c r="U126" s="5" t="n">
        <v>112.95</v>
      </c>
      <c r="V126" s="5" t="n">
        <v>110.66</v>
      </c>
      <c r="W126" s="5" t="n">
        <v>118.35</v>
      </c>
      <c r="X126" s="5">
        <f>SUM(P124:W124)</f>
        <v/>
      </c>
      <c r="Y126" s="5">
        <f>SUM(C124:J124)</f>
        <v/>
      </c>
      <c r="Z126" s="5">
        <f>X124-Y124</f>
        <v/>
      </c>
    </row>
    <row r="127">
      <c r="A127" s="2" t="inlineStr">
        <is>
          <t>351.010</t>
        </is>
      </c>
      <c r="B127" s="2" t="inlineStr">
        <is>
          <t>Ammortamento impianti e macchinario (impianti di rete e cablaggio)</t>
        </is>
      </c>
      <c r="C127" s="5" t="n">
        <v>398.49</v>
      </c>
      <c r="D127" s="5" t="n">
        <v>334.26</v>
      </c>
      <c r="E127" s="5" t="n">
        <v>387.83</v>
      </c>
      <c r="F127" s="5" t="n">
        <v>327.27</v>
      </c>
      <c r="G127" s="5" t="n">
        <v>328.2</v>
      </c>
      <c r="H127" s="5" t="n">
        <v>352.61</v>
      </c>
      <c r="I127" s="5" t="n">
        <v>343.51</v>
      </c>
      <c r="J127" s="5" t="n">
        <v>361.12</v>
      </c>
      <c r="K127" s="5" t="n">
        <v>374.51</v>
      </c>
      <c r="L127" s="5" t="n">
        <v>349.72</v>
      </c>
      <c r="M127" s="5" t="n">
        <v>341.42</v>
      </c>
      <c r="N127" s="5" t="n">
        <v>379.98</v>
      </c>
      <c r="O127" s="5">
        <f>SUM(C125:N125)</f>
        <v/>
      </c>
      <c r="P127" s="5" t="n">
        <v>379.61</v>
      </c>
      <c r="Q127" s="5" t="n">
        <v>332.58</v>
      </c>
      <c r="R127" s="5" t="n">
        <v>370.45</v>
      </c>
      <c r="S127" s="5" t="n">
        <v>344.36</v>
      </c>
      <c r="T127" s="5" t="n">
        <v>336.8</v>
      </c>
      <c r="U127" s="5" t="n">
        <v>363.82</v>
      </c>
      <c r="V127" s="5" t="n">
        <v>359.81</v>
      </c>
      <c r="W127" s="5" t="n">
        <v>346.54</v>
      </c>
      <c r="X127" s="5">
        <f>SUM(P125:W125)</f>
        <v/>
      </c>
      <c r="Y127" s="5">
        <f>SUM(C125:J125)</f>
        <v/>
      </c>
      <c r="Z127" s="5">
        <f>X125-Y125</f>
        <v/>
      </c>
    </row>
    <row r="128">
      <c r="A128" s="2" t="inlineStr">
        <is>
          <t>351.020</t>
        </is>
      </c>
      <c r="B128" s="2" t="inlineStr">
        <is>
          <t>Ammortamento attrezzature industriali e commerciali (server e apparati di test)</t>
        </is>
      </c>
      <c r="C128" s="5" t="n">
        <v>812.4400000000001</v>
      </c>
      <c r="D128" s="5" t="n">
        <v>804.4299999999999</v>
      </c>
      <c r="E128" s="5" t="n">
        <v>748.64</v>
      </c>
      <c r="F128" s="5" t="n">
        <v>713.14</v>
      </c>
      <c r="G128" s="5" t="n">
        <v>808.5700000000001</v>
      </c>
      <c r="H128" s="5" t="n">
        <v>745.52</v>
      </c>
      <c r="I128" s="5" t="n">
        <v>693.9</v>
      </c>
      <c r="J128" s="5" t="n">
        <v>688.3</v>
      </c>
      <c r="K128" s="5" t="n">
        <v>752.99</v>
      </c>
      <c r="L128" s="5" t="n">
        <v>692.58</v>
      </c>
      <c r="M128" s="5" t="n">
        <v>698.27</v>
      </c>
      <c r="N128" s="5" t="n">
        <v>742.46</v>
      </c>
      <c r="O128" s="5">
        <f>SUM(C126:N126)</f>
        <v/>
      </c>
      <c r="P128" s="5" t="n">
        <v>776.4299999999999</v>
      </c>
      <c r="Q128" s="5" t="n">
        <v>758.99</v>
      </c>
      <c r="R128" s="5" t="n">
        <v>767.89</v>
      </c>
      <c r="S128" s="5" t="n">
        <v>724.65</v>
      </c>
      <c r="T128" s="5" t="n">
        <v>801.05</v>
      </c>
      <c r="U128" s="5" t="n">
        <v>701.6900000000001</v>
      </c>
      <c r="V128" s="5" t="n">
        <v>702</v>
      </c>
      <c r="W128" s="5" t="n">
        <v>725.8099999999999</v>
      </c>
      <c r="X128" s="5">
        <f>SUM(P126:W126)</f>
        <v/>
      </c>
      <c r="Y128" s="5">
        <f>SUM(C126:J126)</f>
        <v/>
      </c>
      <c r="Z128" s="5">
        <f>X126-Y126</f>
        <v/>
      </c>
    </row>
    <row r="129">
      <c r="A129" s="2" t="inlineStr">
        <is>
          <t>351.030</t>
        </is>
      </c>
      <c r="B129" s="2" t="inlineStr">
        <is>
          <t>Ammortamento altri beni: macchine d'ufficio elettroniche</t>
        </is>
      </c>
      <c r="C129" s="5" t="n">
        <v>1241.83</v>
      </c>
      <c r="D129" s="5" t="n">
        <v>1115.42</v>
      </c>
      <c r="E129" s="5" t="n">
        <v>1095.02</v>
      </c>
      <c r="F129" s="5" t="n">
        <v>1074.11</v>
      </c>
      <c r="G129" s="5" t="n">
        <v>1231.52</v>
      </c>
      <c r="H129" s="5" t="n">
        <v>1065.64</v>
      </c>
      <c r="I129" s="5" t="n">
        <v>1164.02</v>
      </c>
      <c r="J129" s="5" t="n">
        <v>1075.73</v>
      </c>
      <c r="K129" s="5" t="n">
        <v>1209.14</v>
      </c>
      <c r="L129" s="5" t="n">
        <v>1181.82</v>
      </c>
      <c r="M129" s="5" t="n">
        <v>1155.19</v>
      </c>
      <c r="N129" s="5" t="n">
        <v>1202.59</v>
      </c>
      <c r="O129" s="5">
        <f>SUM(C127:N127)</f>
        <v/>
      </c>
      <c r="P129" s="5" t="n">
        <v>1257.41</v>
      </c>
      <c r="Q129" s="5" t="n">
        <v>1185.83</v>
      </c>
      <c r="R129" s="5" t="n">
        <v>1159.22</v>
      </c>
      <c r="S129" s="5" t="n">
        <v>1032.49</v>
      </c>
      <c r="T129" s="5" t="n">
        <v>1293.6</v>
      </c>
      <c r="U129" s="5" t="n">
        <v>1017.9</v>
      </c>
      <c r="V129" s="5" t="n">
        <v>1134.21</v>
      </c>
      <c r="W129" s="5" t="n">
        <v>1036.19</v>
      </c>
      <c r="X129" s="5">
        <f>SUM(P127:W127)</f>
        <v/>
      </c>
      <c r="Y129" s="5">
        <f>SUM(C127:J127)</f>
        <v/>
      </c>
      <c r="Z129" s="5">
        <f>X127-Y127</f>
        <v/>
      </c>
    </row>
    <row r="130">
      <c r="A130" s="2" t="inlineStr">
        <is>
          <t>351.040</t>
        </is>
      </c>
      <c r="B130" s="2" t="inlineStr">
        <is>
          <t>Ammortamento altri beni: mobili e arredi</t>
        </is>
      </c>
      <c r="C130" s="5" t="n">
        <v>346.32</v>
      </c>
      <c r="D130" s="5" t="n">
        <v>306.61</v>
      </c>
      <c r="E130" s="5" t="n">
        <v>345.28</v>
      </c>
      <c r="F130" s="5" t="n">
        <v>329.6</v>
      </c>
      <c r="G130" s="5" t="n">
        <v>349.12</v>
      </c>
      <c r="H130" s="5" t="n">
        <v>319.81</v>
      </c>
      <c r="I130" s="5" t="n">
        <v>336.37</v>
      </c>
      <c r="J130" s="5" t="n">
        <v>356.48</v>
      </c>
      <c r="K130" s="5" t="n">
        <v>319.97</v>
      </c>
      <c r="L130" s="5" t="n">
        <v>326.3</v>
      </c>
      <c r="M130" s="5" t="n">
        <v>305.68</v>
      </c>
      <c r="N130" s="5" t="n">
        <v>323.66</v>
      </c>
      <c r="O130" s="5">
        <f>SUM(C128:N128)</f>
        <v/>
      </c>
      <c r="P130" s="5" t="n">
        <v>352.3</v>
      </c>
      <c r="Q130" s="5" t="n">
        <v>317.7</v>
      </c>
      <c r="R130" s="5" t="n">
        <v>361.17</v>
      </c>
      <c r="S130" s="5" t="n">
        <v>317.09</v>
      </c>
      <c r="T130" s="5" t="n">
        <v>343.38</v>
      </c>
      <c r="U130" s="5" t="n">
        <v>334.86</v>
      </c>
      <c r="V130" s="5" t="n">
        <v>345.23</v>
      </c>
      <c r="W130" s="5" t="n">
        <v>349.84</v>
      </c>
      <c r="X130" s="5">
        <f>SUM(P128:W128)</f>
        <v/>
      </c>
      <c r="Y130" s="5">
        <f>SUM(C128:J128)</f>
        <v/>
      </c>
      <c r="Z130" s="5">
        <f>X128-Y128</f>
        <v/>
      </c>
    </row>
    <row r="131">
      <c r="A131" s="2" t="inlineStr">
        <is>
          <t>351.050</t>
        </is>
      </c>
      <c r="B131" s="2" t="inlineStr">
        <is>
          <t>Ammortamento altri beni: autovetture e mezzi di trasporto interni</t>
        </is>
      </c>
      <c r="C131" s="5" t="n">
        <v>151.03</v>
      </c>
      <c r="D131" s="5" t="n">
        <v>176.73</v>
      </c>
      <c r="E131" s="5" t="n">
        <v>157.9</v>
      </c>
      <c r="F131" s="5" t="n">
        <v>159.83</v>
      </c>
      <c r="G131" s="5" t="n">
        <v>175.63</v>
      </c>
      <c r="H131" s="5" t="n">
        <v>163.49</v>
      </c>
      <c r="I131" s="5" t="n">
        <v>170.69</v>
      </c>
      <c r="J131" s="5" t="n">
        <v>165.59</v>
      </c>
      <c r="K131" s="5" t="n">
        <v>157.27</v>
      </c>
      <c r="L131" s="5" t="n">
        <v>167.39</v>
      </c>
      <c r="M131" s="5" t="n">
        <v>163.6</v>
      </c>
      <c r="N131" s="5" t="n">
        <v>166.84</v>
      </c>
      <c r="O131" s="5">
        <f>SUM(C129:N129)</f>
        <v/>
      </c>
      <c r="P131" s="5" t="n">
        <v>151.4</v>
      </c>
      <c r="Q131" s="5" t="n">
        <v>180.94</v>
      </c>
      <c r="R131" s="5" t="n">
        <v>167.02</v>
      </c>
      <c r="S131" s="5" t="n">
        <v>167.27</v>
      </c>
      <c r="T131" s="5" t="n">
        <v>184.76</v>
      </c>
      <c r="U131" s="5" t="n">
        <v>164.37</v>
      </c>
      <c r="V131" s="5" t="n">
        <v>168.72</v>
      </c>
      <c r="W131" s="5" t="n">
        <v>164.05</v>
      </c>
      <c r="X131" s="5">
        <f>SUM(P129:W129)</f>
        <v/>
      </c>
      <c r="Y131" s="5">
        <f>SUM(C129:J129)</f>
        <v/>
      </c>
      <c r="Z131" s="5">
        <f>X129-Y129</f>
        <v/>
      </c>
    </row>
    <row r="132">
      <c r="A132" s="2" t="inlineStr">
        <is>
          <t>352.010</t>
        </is>
      </c>
      <c r="B132" s="2" t="inlineStr">
        <is>
          <t>Svalutazione dei crediti verso clienti</t>
        </is>
      </c>
      <c r="C132" s="5" t="n">
        <v>80.06</v>
      </c>
      <c r="D132" s="5" t="n">
        <v>92.47</v>
      </c>
      <c r="E132" s="5" t="n">
        <v>80.23</v>
      </c>
      <c r="F132" s="5" t="n">
        <v>79.92</v>
      </c>
      <c r="G132" s="5" t="n">
        <v>88.06999999999999</v>
      </c>
      <c r="H132" s="5" t="n">
        <v>81.16</v>
      </c>
      <c r="I132" s="5" t="n">
        <v>85.77</v>
      </c>
      <c r="J132" s="5" t="n">
        <v>92.59</v>
      </c>
      <c r="K132" s="5" t="n">
        <v>92.97</v>
      </c>
      <c r="L132" s="5" t="n">
        <v>88.39</v>
      </c>
      <c r="M132" s="5" t="n">
        <v>82.72</v>
      </c>
      <c r="N132" s="5" t="n">
        <v>2203.71</v>
      </c>
      <c r="O132" s="5">
        <f>SUM(C130:N130)</f>
        <v/>
      </c>
      <c r="P132" s="5" t="n">
        <v>76.78</v>
      </c>
      <c r="Q132" s="5" t="n">
        <v>92.84</v>
      </c>
      <c r="R132" s="5" t="n">
        <v>85.45</v>
      </c>
      <c r="S132" s="5" t="n">
        <v>77.48</v>
      </c>
      <c r="T132" s="5" t="n">
        <v>86.33</v>
      </c>
      <c r="U132" s="5" t="n">
        <v>82.13</v>
      </c>
      <c r="V132" s="5" t="n">
        <v>83.09</v>
      </c>
      <c r="W132" s="5" t="n">
        <v>90.42</v>
      </c>
      <c r="X132" s="5">
        <f>SUM(P130:W130)</f>
        <v/>
      </c>
      <c r="Y132" s="5">
        <f>SUM(C130:J130)</f>
        <v/>
      </c>
      <c r="Z132" s="5">
        <f>X130-Y130</f>
        <v/>
      </c>
    </row>
    <row r="133">
      <c r="A133" s="2" t="inlineStr">
        <is>
          <t>360.010</t>
        </is>
      </c>
      <c r="B133" s="2" t="inlineStr">
        <is>
          <t>Imposta di bollo e tasse di concessione governativa</t>
        </is>
      </c>
      <c r="C133" s="5" t="n">
        <v>0</v>
      </c>
      <c r="D133" s="5" t="n">
        <v>0</v>
      </c>
      <c r="E133" s="5" t="n">
        <v>304.46</v>
      </c>
      <c r="F133" s="5" t="n">
        <v>0</v>
      </c>
      <c r="G133" s="5" t="n">
        <v>0</v>
      </c>
      <c r="H133" s="5" t="n">
        <v>306.64</v>
      </c>
      <c r="I133" s="5" t="n">
        <v>0</v>
      </c>
      <c r="J133" s="5" t="n">
        <v>0</v>
      </c>
      <c r="K133" s="5" t="n">
        <v>332.68</v>
      </c>
      <c r="L133" s="5" t="n">
        <v>0</v>
      </c>
      <c r="M133" s="5" t="n">
        <v>0</v>
      </c>
      <c r="N133" s="5" t="n">
        <v>295.85</v>
      </c>
      <c r="O133" s="5">
        <f>SUM(C131:N131)</f>
        <v/>
      </c>
      <c r="P133" s="5" t="n">
        <v>0</v>
      </c>
      <c r="Q133" s="5" t="n">
        <v>0</v>
      </c>
      <c r="R133" s="5" t="n">
        <v>294.1</v>
      </c>
      <c r="S133" s="5" t="n">
        <v>0</v>
      </c>
      <c r="T133" s="5" t="n">
        <v>0</v>
      </c>
      <c r="U133" s="5" t="n">
        <v>316.09</v>
      </c>
      <c r="V133" s="5" t="n">
        <v>0</v>
      </c>
      <c r="W133" s="5" t="n">
        <v>0</v>
      </c>
      <c r="X133" s="5">
        <f>SUM(P131:W131)</f>
        <v/>
      </c>
      <c r="Y133" s="5">
        <f>SUM(C131:J131)</f>
        <v/>
      </c>
      <c r="Z133" s="5">
        <f>X131-Y131</f>
        <v/>
      </c>
    </row>
    <row r="134">
      <c r="A134" s="2" t="inlineStr">
        <is>
          <t>360.020</t>
        </is>
      </c>
      <c r="B134" s="2" t="inlineStr">
        <is>
          <t>Tassa rifiuti (TARI)</t>
        </is>
      </c>
      <c r="C134" s="5" t="n">
        <v>0</v>
      </c>
      <c r="D134" s="5" t="n">
        <v>0</v>
      </c>
      <c r="E134" s="5" t="n">
        <v>343.6</v>
      </c>
      <c r="F134" s="5" t="n">
        <v>0</v>
      </c>
      <c r="G134" s="5" t="n">
        <v>0</v>
      </c>
      <c r="H134" s="5" t="n">
        <v>334.29</v>
      </c>
      <c r="I134" s="5" t="n">
        <v>0</v>
      </c>
      <c r="J134" s="5" t="n">
        <v>0</v>
      </c>
      <c r="K134" s="5" t="n">
        <v>381.45</v>
      </c>
      <c r="L134" s="5" t="n">
        <v>0</v>
      </c>
      <c r="M134" s="5" t="n">
        <v>0</v>
      </c>
      <c r="N134" s="5" t="n">
        <v>368.16</v>
      </c>
      <c r="O134" s="5">
        <f>SUM(C132:N132)</f>
        <v/>
      </c>
      <c r="P134" s="5" t="n">
        <v>0</v>
      </c>
      <c r="Q134" s="5" t="n">
        <v>0</v>
      </c>
      <c r="R134" s="5" t="n">
        <v>347.47</v>
      </c>
      <c r="S134" s="5" t="n">
        <v>0</v>
      </c>
      <c r="T134" s="5" t="n">
        <v>0</v>
      </c>
      <c r="U134" s="5" t="n">
        <v>341.57</v>
      </c>
      <c r="V134" s="5" t="n">
        <v>0</v>
      </c>
      <c r="W134" s="5" t="n">
        <v>0</v>
      </c>
      <c r="X134" s="5">
        <f>SUM(P132:W132)</f>
        <v/>
      </c>
      <c r="Y134" s="5">
        <f>SUM(C132:J132)</f>
        <v/>
      </c>
      <c r="Z134" s="5">
        <f>X132-Y132</f>
        <v/>
      </c>
    </row>
    <row r="135">
      <c r="A135" s="2" t="inlineStr">
        <is>
          <t>360.030</t>
        </is>
      </c>
      <c r="B135" s="2" t="inlineStr">
        <is>
          <t>Diritti camerali annuali</t>
        </is>
      </c>
      <c r="C135" s="5" t="n">
        <v>0</v>
      </c>
      <c r="D135" s="5" t="n">
        <v>0</v>
      </c>
      <c r="E135" s="5" t="n">
        <v>204.16</v>
      </c>
      <c r="F135" s="5" t="n">
        <v>0</v>
      </c>
      <c r="G135" s="5" t="n">
        <v>0</v>
      </c>
      <c r="H135" s="5" t="n">
        <v>208.24</v>
      </c>
      <c r="I135" s="5" t="n">
        <v>0</v>
      </c>
      <c r="J135" s="5" t="n">
        <v>0</v>
      </c>
      <c r="K135" s="5" t="n">
        <v>210.62</v>
      </c>
      <c r="L135" s="5" t="n">
        <v>0</v>
      </c>
      <c r="M135" s="5" t="n">
        <v>0</v>
      </c>
      <c r="N135" s="5" t="n">
        <v>232.24</v>
      </c>
      <c r="O135" s="5">
        <f>SUM(C133:N133)</f>
        <v/>
      </c>
      <c r="P135" s="5" t="n">
        <v>0</v>
      </c>
      <c r="Q135" s="5" t="n">
        <v>0</v>
      </c>
      <c r="R135" s="5" t="n">
        <v>217.22</v>
      </c>
      <c r="S135" s="5" t="n">
        <v>0</v>
      </c>
      <c r="T135" s="5" t="n">
        <v>0</v>
      </c>
      <c r="U135" s="5" t="n">
        <v>203.26</v>
      </c>
      <c r="V135" s="5" t="n">
        <v>0</v>
      </c>
      <c r="W135" s="5" t="n">
        <v>0</v>
      </c>
      <c r="X135" s="5">
        <f>SUM(P133:W133)</f>
        <v/>
      </c>
      <c r="Y135" s="5">
        <f>SUM(C133:J133)</f>
        <v/>
      </c>
      <c r="Z135" s="5">
        <f>X133-Y133</f>
        <v/>
      </c>
    </row>
    <row r="136">
      <c r="A136" s="2" t="inlineStr">
        <is>
          <t>360.040</t>
        </is>
      </c>
      <c r="B136" s="2" t="inlineStr">
        <is>
          <t>Altre imposte e tasse indirette e di registro</t>
        </is>
      </c>
      <c r="C136" s="5" t="n">
        <v>0</v>
      </c>
      <c r="D136" s="5" t="n">
        <v>0</v>
      </c>
      <c r="E136" s="5" t="n">
        <v>187.28</v>
      </c>
      <c r="F136" s="5" t="n">
        <v>0</v>
      </c>
      <c r="G136" s="5" t="n">
        <v>0</v>
      </c>
      <c r="H136" s="5" t="n">
        <v>186.79</v>
      </c>
      <c r="I136" s="5" t="n">
        <v>0</v>
      </c>
      <c r="J136" s="5" t="n">
        <v>0</v>
      </c>
      <c r="K136" s="5" t="n">
        <v>163.64</v>
      </c>
      <c r="L136" s="5" t="n">
        <v>0</v>
      </c>
      <c r="M136" s="5" t="n">
        <v>0</v>
      </c>
      <c r="N136" s="5" t="n">
        <v>191.03</v>
      </c>
      <c r="O136" s="5">
        <f>SUM(C134:N134)</f>
        <v/>
      </c>
      <c r="P136" s="5" t="n">
        <v>0</v>
      </c>
      <c r="Q136" s="5" t="n">
        <v>0</v>
      </c>
      <c r="R136" s="5" t="n">
        <v>196.27</v>
      </c>
      <c r="S136" s="5" t="n">
        <v>0</v>
      </c>
      <c r="T136" s="5" t="n">
        <v>0</v>
      </c>
      <c r="U136" s="5" t="n">
        <v>177.21</v>
      </c>
      <c r="V136" s="5" t="n">
        <v>0</v>
      </c>
      <c r="W136" s="5" t="n">
        <v>0</v>
      </c>
      <c r="X136" s="5">
        <f>SUM(P134:W134)</f>
        <v/>
      </c>
      <c r="Y136" s="5">
        <f>SUM(C134:J134)</f>
        <v/>
      </c>
      <c r="Z136" s="5">
        <f>X134-Y134</f>
        <v/>
      </c>
    </row>
    <row r="137">
      <c r="A137" s="2" t="inlineStr">
        <is>
          <t>360.050</t>
        </is>
      </c>
      <c r="B137" s="2" t="inlineStr">
        <is>
          <t>Quote associative a organizzazioni di categoria</t>
        </is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1248.24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>
        <f>SUM(C135:N135)</f>
        <v/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1214.21</v>
      </c>
      <c r="U137" s="5" t="n">
        <v>0</v>
      </c>
      <c r="V137" s="5" t="n">
        <v>0</v>
      </c>
      <c r="W137" s="5" t="n">
        <v>0</v>
      </c>
      <c r="X137" s="5">
        <f>SUM(P135:W135)</f>
        <v/>
      </c>
      <c r="Y137" s="5">
        <f>SUM(C135:J135)</f>
        <v/>
      </c>
      <c r="Z137" s="5">
        <f>X135-Y135</f>
        <v/>
      </c>
    </row>
    <row r="138">
      <c r="A138" s="2" t="inlineStr">
        <is>
          <t>360.060</t>
        </is>
      </c>
      <c r="B138" s="2" t="inlineStr">
        <is>
          <t>Quote associative a consorzi e distretti tecnologici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612.21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>
        <f>SUM(C136:N136)</f>
        <v/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629.76</v>
      </c>
      <c r="U138" s="5" t="n">
        <v>0</v>
      </c>
      <c r="V138" s="5" t="n">
        <v>0</v>
      </c>
      <c r="W138" s="5" t="n">
        <v>0</v>
      </c>
      <c r="X138" s="5">
        <f>SUM(P136:W136)</f>
        <v/>
      </c>
      <c r="Y138" s="5">
        <f>SUM(C136:J136)</f>
        <v/>
      </c>
      <c r="Z138" s="5">
        <f>X136-Y136</f>
        <v/>
      </c>
    </row>
    <row r="139">
      <c r="A139" s="2" t="inlineStr">
        <is>
          <t>360.070</t>
        </is>
      </c>
      <c r="B139" s="2" t="inlineStr">
        <is>
          <t>Sopravvenienze passive ordinarie: rettifiche di ricavi</t>
        </is>
      </c>
      <c r="C139" s="5" t="n">
        <v>37.88</v>
      </c>
      <c r="D139" s="5" t="n">
        <v>32.68</v>
      </c>
      <c r="E139" s="5" t="n">
        <v>34.73</v>
      </c>
      <c r="F139" s="5" t="n">
        <v>33.31</v>
      </c>
      <c r="G139" s="5" t="n">
        <v>34.12</v>
      </c>
      <c r="H139" s="5" t="n">
        <v>33.66</v>
      </c>
      <c r="I139" s="5" t="n">
        <v>33.01</v>
      </c>
      <c r="J139" s="5" t="n">
        <v>33.07</v>
      </c>
      <c r="K139" s="5" t="n">
        <v>35.26</v>
      </c>
      <c r="L139" s="5" t="n">
        <v>33.06</v>
      </c>
      <c r="M139" s="5" t="n">
        <v>37.42</v>
      </c>
      <c r="N139" s="5" t="n">
        <v>753.65</v>
      </c>
      <c r="O139" s="5">
        <f>SUM(C137:N137)</f>
        <v/>
      </c>
      <c r="P139" s="5" t="n">
        <v>38.87</v>
      </c>
      <c r="Q139" s="5" t="n">
        <v>32.9</v>
      </c>
      <c r="R139" s="5" t="n">
        <v>36.8</v>
      </c>
      <c r="S139" s="5" t="n">
        <v>32.73</v>
      </c>
      <c r="T139" s="5" t="n">
        <v>35.21</v>
      </c>
      <c r="U139" s="5" t="n">
        <v>32.48</v>
      </c>
      <c r="V139" s="5" t="n">
        <v>34.31</v>
      </c>
      <c r="W139" s="5" t="n">
        <v>32.19</v>
      </c>
      <c r="X139" s="5">
        <f>SUM(P137:W137)</f>
        <v/>
      </c>
      <c r="Y139" s="5">
        <f>SUM(C137:J137)</f>
        <v/>
      </c>
      <c r="Z139" s="5">
        <f>X137-Y137</f>
        <v/>
      </c>
    </row>
    <row r="140">
      <c r="A140" s="2" t="inlineStr">
        <is>
          <t>360.080</t>
        </is>
      </c>
      <c r="B140" s="2" t="inlineStr">
        <is>
          <t>Sopravvenienze passive ordinarie: costi di competenza di esercizi precedenti</t>
        </is>
      </c>
      <c r="C140" s="5" t="n">
        <v>43.67</v>
      </c>
      <c r="D140" s="5" t="n">
        <v>44.37</v>
      </c>
      <c r="E140" s="5" t="n">
        <v>40.51</v>
      </c>
      <c r="F140" s="5" t="n">
        <v>43.33</v>
      </c>
      <c r="G140" s="5" t="n">
        <v>42.06</v>
      </c>
      <c r="H140" s="5" t="n">
        <v>39.33</v>
      </c>
      <c r="I140" s="5" t="n">
        <v>44.57</v>
      </c>
      <c r="J140" s="5" t="n">
        <v>39.46</v>
      </c>
      <c r="K140" s="5" t="n">
        <v>38.1</v>
      </c>
      <c r="L140" s="5" t="n">
        <v>40.69</v>
      </c>
      <c r="M140" s="5" t="n">
        <v>39.89</v>
      </c>
      <c r="N140" s="5" t="n">
        <v>914.35</v>
      </c>
      <c r="O140" s="5">
        <f>SUM(C138:N138)</f>
        <v/>
      </c>
      <c r="P140" s="5" t="n">
        <v>42.73</v>
      </c>
      <c r="Q140" s="5" t="n">
        <v>42.3</v>
      </c>
      <c r="R140" s="5" t="n">
        <v>41.77</v>
      </c>
      <c r="S140" s="5" t="n">
        <v>43.8</v>
      </c>
      <c r="T140" s="5" t="n">
        <v>40.75</v>
      </c>
      <c r="U140" s="5" t="n">
        <v>41.3</v>
      </c>
      <c r="V140" s="5" t="n">
        <v>44.86</v>
      </c>
      <c r="W140" s="5" t="n">
        <v>39.07</v>
      </c>
      <c r="X140" s="5">
        <f>SUM(P138:W138)</f>
        <v/>
      </c>
      <c r="Y140" s="5">
        <f>SUM(C138:J138)</f>
        <v/>
      </c>
      <c r="Z140" s="5">
        <f>X138-Y138</f>
        <v/>
      </c>
    </row>
    <row r="141">
      <c r="A141" s="2" t="inlineStr">
        <is>
          <t>360.090</t>
        </is>
      </c>
      <c r="B141" s="2" t="inlineStr">
        <is>
          <t>Erogazioni liberali a enti del terzo settore</t>
        </is>
      </c>
      <c r="C141" s="5" t="n">
        <v>32.42</v>
      </c>
      <c r="D141" s="5" t="n">
        <v>34.91</v>
      </c>
      <c r="E141" s="5" t="n">
        <v>31.24</v>
      </c>
      <c r="F141" s="5" t="n">
        <v>33.01</v>
      </c>
      <c r="G141" s="5" t="n">
        <v>36.83</v>
      </c>
      <c r="H141" s="5" t="n">
        <v>36.02</v>
      </c>
      <c r="I141" s="5" t="n">
        <v>33.78</v>
      </c>
      <c r="J141" s="5" t="n">
        <v>36.76</v>
      </c>
      <c r="K141" s="5" t="n">
        <v>36.36</v>
      </c>
      <c r="L141" s="5" t="n">
        <v>32.77</v>
      </c>
      <c r="M141" s="5" t="n">
        <v>36.18</v>
      </c>
      <c r="N141" s="5" t="n">
        <v>802.54</v>
      </c>
      <c r="O141" s="5">
        <f>SUM(C139:N139)</f>
        <v/>
      </c>
      <c r="P141" s="5" t="n">
        <v>33.46</v>
      </c>
      <c r="Q141" s="5" t="n">
        <v>35.23</v>
      </c>
      <c r="R141" s="5" t="n">
        <v>30.82</v>
      </c>
      <c r="S141" s="5" t="n">
        <v>32.85</v>
      </c>
      <c r="T141" s="5" t="n">
        <v>37.58</v>
      </c>
      <c r="U141" s="5" t="n">
        <v>37.48</v>
      </c>
      <c r="V141" s="5" t="n">
        <v>34.72</v>
      </c>
      <c r="W141" s="5" t="n">
        <v>37.45</v>
      </c>
      <c r="X141" s="5">
        <f>SUM(P139:W139)</f>
        <v/>
      </c>
      <c r="Y141" s="5">
        <f>SUM(C139:J139)</f>
        <v/>
      </c>
      <c r="Z141" s="5">
        <f>X139-Y139</f>
        <v/>
      </c>
    </row>
    <row r="142">
      <c r="A142" s="2" t="inlineStr">
        <is>
          <t>360.100</t>
        </is>
      </c>
      <c r="B142" s="2" t="inlineStr">
        <is>
          <t>Erogazioni liberali: borse di studio</t>
        </is>
      </c>
      <c r="C142" s="5" t="n">
        <v>10.78</v>
      </c>
      <c r="D142" s="5" t="n">
        <v>11.41</v>
      </c>
      <c r="E142" s="5" t="n">
        <v>9.960000000000001</v>
      </c>
      <c r="F142" s="5" t="n">
        <v>9.640000000000001</v>
      </c>
      <c r="G142" s="5" t="n">
        <v>10.59</v>
      </c>
      <c r="H142" s="5" t="n">
        <v>9.83</v>
      </c>
      <c r="I142" s="5" t="n">
        <v>9.58</v>
      </c>
      <c r="J142" s="5" t="n">
        <v>10.51</v>
      </c>
      <c r="K142" s="5" t="n">
        <v>10.75</v>
      </c>
      <c r="L142" s="5" t="n">
        <v>10.32</v>
      </c>
      <c r="M142" s="5" t="n">
        <v>11.68</v>
      </c>
      <c r="N142" s="5" t="n">
        <v>244.68</v>
      </c>
      <c r="O142" s="5">
        <f>SUM(C140:N140)</f>
        <v/>
      </c>
      <c r="P142" s="5" t="n">
        <v>10.25</v>
      </c>
      <c r="Q142" s="5" t="n">
        <v>11.91</v>
      </c>
      <c r="R142" s="5" t="n">
        <v>10.19</v>
      </c>
      <c r="S142" s="5" t="n">
        <v>9.17</v>
      </c>
      <c r="T142" s="5" t="n">
        <v>10.03</v>
      </c>
      <c r="U142" s="5" t="n">
        <v>9.85</v>
      </c>
      <c r="V142" s="5" t="n">
        <v>9.720000000000001</v>
      </c>
      <c r="W142" s="5" t="n">
        <v>10.68</v>
      </c>
      <c r="X142" s="5">
        <f>SUM(P140:W140)</f>
        <v/>
      </c>
      <c r="Y142" s="5">
        <f>SUM(C140:J140)</f>
        <v/>
      </c>
      <c r="Z142" s="5">
        <f>X140-Y140</f>
        <v/>
      </c>
    </row>
  </sheetData>
  <autoFilter ref="A3:Z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2026-10-14T17:30:32Z</dcterms:created>
  <dcterms:modified xsi:type="dcterms:W3CDTF">2026-10-14T17:30:32Z</dcterms:modified>
</cp:coreProperties>
</file>