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aiuti" sheetId="1" state="visible" r:id="rId1"/>
    <sheet name="Domande presentate" sheetId="2" state="visible" r:id="rId2"/>
    <sheet name="Triennio mobile" sheetId="3" state="visible" r:id="rId3"/>
    <sheet name="Impresa unica" sheetId="4" state="visible" r:id="rId4"/>
    <sheet name="Credito R&amp;S" sheetId="5" state="visible" r:id="rId5"/>
  </sheets>
  <definedNames>
    <definedName name="_xlnm._FilterDatabase" localSheetId="0" hidden="1">'Registro aiuti'!$A$3:$K$13</definedName>
    <definedName name="_xlnm._FilterDatabase" localSheetId="1" hidden="1">'Domande presentate'!$A$1:$F$13</definedName>
    <definedName name="_xlnm._FilterDatabase" localSheetId="2" hidden="1">'Triennio mobile'!$A$1:$C$49</definedName>
    <definedName name="_xlnm._FilterDatabase" localSheetId="3" hidden="1">'Impresa unica'!$A$1:$C$6</definedName>
    <definedName name="_xlnm._FilterDatabase" localSheetId="4" hidden="1">'Credito R&amp;S'!$A$1:$E$5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;[Red]-#,##0.00"/>
    <numFmt numFmtId="167" formatCode="0.0%"/>
  </numFmts>
  <fonts count="5">
    <font>
      <name val="Calibri"/>
      <family val="2"/>
      <color theme="1"/>
      <sz val="11"/>
      <scheme val="minor"/>
    </font>
    <font>
      <i val="1"/>
      <color rgb="006B7280"/>
      <sz val="9"/>
    </font>
    <font>
      <name val="Calibri"/>
      <b val="1"/>
      <color rgb="00FFFFFF"/>
      <sz val="10"/>
    </font>
    <font>
      <name val="Calibr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16" customWidth="1" min="4" max="4"/>
    <col width="18" customWidth="1" min="5" max="5"/>
    <col width="14" customWidth="1" min="6" max="6"/>
    <col width="28" customWidth="1" min="7" max="7"/>
    <col width="18" customWidth="1" min="8" max="8"/>
    <col width="30" customWidth="1" min="9" max="9"/>
    <col width="34" customWidth="1" min="10" max="10"/>
    <col width="44" customWidth="1" min="11" max="11"/>
  </cols>
  <sheetData>
    <row r="1">
      <c r="A1" s="1" t="inlineStr">
        <is>
          <t>Registro degli aiuti di Stato e delle agevolazioni ricevute (aggiornato al 30/09/2026). Il de minimis è soggetto al massimale di 300.000 EUR su tre esercizi.</t>
        </is>
      </c>
    </row>
    <row r="3" ht="32" customHeight="1">
      <c r="A3" s="2" t="inlineStr">
        <is>
          <t>Ente concedente</t>
        </is>
      </c>
      <c r="B3" s="2" t="inlineStr">
        <is>
          <t>Misura</t>
        </is>
      </c>
      <c r="C3" s="2" t="inlineStr">
        <is>
          <t>Base normativa</t>
        </is>
      </c>
      <c r="D3" s="2" t="inlineStr">
        <is>
          <t>Data concessione</t>
        </is>
      </c>
      <c r="E3" s="2" t="inlineStr">
        <is>
          <t>Data incasso/fruizione</t>
        </is>
      </c>
      <c r="F3" s="2" t="inlineStr">
        <is>
          <t>Importo (EUR)</t>
        </is>
      </c>
      <c r="G3" s="2" t="inlineStr">
        <is>
          <t>Regime</t>
        </is>
      </c>
      <c r="H3" s="2" t="inlineStr">
        <is>
          <t>Codice COR (prova)</t>
        </is>
      </c>
      <c r="I3" s="2" t="inlineStr">
        <is>
          <t>Impresa unica</t>
        </is>
      </c>
      <c r="J3" s="2" t="inlineStr">
        <is>
          <t>Spese agevolate</t>
        </is>
      </c>
      <c r="K3" s="2" t="inlineStr">
        <is>
          <t>Note</t>
        </is>
      </c>
    </row>
    <row r="4">
      <c r="A4" s="3" t="inlineStr">
        <is>
          <t>Camera di Commercio di Torino</t>
        </is>
      </c>
      <c r="B4" s="3" t="inlineStr">
        <is>
          <t>Voucher digitalizzazione PMI</t>
        </is>
      </c>
      <c r="C4" s="3" t="inlineStr">
        <is>
          <t>Reg. UE 2023/2831</t>
        </is>
      </c>
      <c r="D4" s="4" t="n">
        <v>45394</v>
      </c>
      <c r="E4" s="4" t="n">
        <v>45565</v>
      </c>
      <c r="F4" s="5" t="n">
        <v>10000</v>
      </c>
      <c r="G4" s="3" t="inlineStr">
        <is>
          <t>de minimis</t>
        </is>
      </c>
      <c r="H4" s="3" t="inlineStr">
        <is>
          <t>COR-0000001</t>
        </is>
      </c>
      <c r="I4" s="3" t="inlineStr">
        <is>
          <t>Meridiana Digital Solutions S.r.l.</t>
        </is>
      </c>
      <c r="J4" s="3" t="inlineStr">
        <is>
          <t>Consulenza e licenze 2024</t>
        </is>
      </c>
      <c r="K4" s="3" t="inlineStr">
        <is>
          <t>Rendicontazione chiusa il 18/09/2024</t>
        </is>
      </c>
    </row>
    <row r="5">
      <c r="A5" s="3" t="inlineStr">
        <is>
          <t>Regione Piemonte</t>
        </is>
      </c>
      <c r="B5" s="3" t="inlineStr">
        <is>
          <t>Contributo partecipazione fiere</t>
        </is>
      </c>
      <c r="C5" s="3" t="inlineStr">
        <is>
          <t>Reg. UE 2023/2831</t>
        </is>
      </c>
      <c r="D5" s="4" t="n">
        <v>45933</v>
      </c>
      <c r="E5" s="4" t="n">
        <v>46006</v>
      </c>
      <c r="F5" s="5" t="n">
        <v>6500</v>
      </c>
      <c r="G5" s="3" t="inlineStr">
        <is>
          <t>de minimis</t>
        </is>
      </c>
      <c r="H5" s="3" t="inlineStr">
        <is>
          <t>COR-0000002</t>
        </is>
      </c>
      <c r="I5" s="3" t="inlineStr">
        <is>
          <t>Meridiana Digital Solutions S.r.l.</t>
        </is>
      </c>
      <c r="J5" s="3" t="inlineStr">
        <is>
          <t>Fiera di settore a Milano, 2025</t>
        </is>
      </c>
      <c r="K5" s="3" t="inlineStr">
        <is>
          <t>Rendicontazione chiusa il 28/11/2025</t>
        </is>
      </c>
    </row>
    <row r="6">
      <c r="A6" s="3" t="inlineStr">
        <is>
          <t>Agenzia delle Entrate</t>
        </is>
      </c>
      <c r="B6" s="3" t="inlineStr">
        <is>
          <t>Credito d'imposta ricerca e sviluppo 2022</t>
        </is>
      </c>
      <c r="C6" s="3" t="inlineStr">
        <is>
          <t>Art. 1 c. 198 L. 160/2019</t>
        </is>
      </c>
      <c r="D6" s="4" t="n">
        <v>45107</v>
      </c>
      <c r="E6" s="4" t="n">
        <v>45124</v>
      </c>
      <c r="F6" s="5" t="n">
        <v>6000</v>
      </c>
      <c r="G6" s="3" t="inlineStr">
        <is>
          <t>credito d'imposta (esenzione)</t>
        </is>
      </c>
      <c r="H6" s="3" t="inlineStr">
        <is>
          <t>-</t>
        </is>
      </c>
      <c r="I6" s="3" t="inlineStr">
        <is>
          <t>Meridiana Digital Solutions S.r.l.</t>
        </is>
      </c>
      <c r="J6" s="3" t="inlineStr">
        <is>
          <t>Spese di ricerca e sviluppo 2022</t>
        </is>
      </c>
      <c r="K6" s="3" t="inlineStr">
        <is>
          <t>Compensazione in F24 codice 6938</t>
        </is>
      </c>
    </row>
    <row r="7">
      <c r="A7" s="3" t="inlineStr">
        <is>
          <t>Agenzia delle Entrate</t>
        </is>
      </c>
      <c r="B7" s="3" t="inlineStr">
        <is>
          <t>Credito d'imposta ricerca e sviluppo 2023</t>
        </is>
      </c>
      <c r="C7" s="3" t="inlineStr">
        <is>
          <t>Art. 1 c. 198 L. 160/2019</t>
        </is>
      </c>
      <c r="D7" s="4" t="n">
        <v>45473</v>
      </c>
      <c r="E7" s="4" t="n">
        <v>45489</v>
      </c>
      <c r="F7" s="5" t="n">
        <v>12000</v>
      </c>
      <c r="G7" s="3" t="inlineStr">
        <is>
          <t>credito d'imposta (esenzione)</t>
        </is>
      </c>
      <c r="H7" s="3" t="inlineStr">
        <is>
          <t>-</t>
        </is>
      </c>
      <c r="I7" s="3" t="inlineStr">
        <is>
          <t>Meridiana Digital Solutions S.r.l.</t>
        </is>
      </c>
      <c r="J7" s="3" t="inlineStr">
        <is>
          <t>Spese di ricerca e sviluppo 2023</t>
        </is>
      </c>
      <c r="K7" s="3" t="inlineStr">
        <is>
          <t>Compensazione in F24 codice 6938</t>
        </is>
      </c>
    </row>
    <row r="8">
      <c r="A8" s="3" t="inlineStr">
        <is>
          <t>Agenzia delle Entrate</t>
        </is>
      </c>
      <c r="B8" s="3" t="inlineStr">
        <is>
          <t>Credito d'imposta ricerca e sviluppo 2024</t>
        </is>
      </c>
      <c r="C8" s="3" t="inlineStr">
        <is>
          <t>Art. 1 c. 198 L. 160/2019</t>
        </is>
      </c>
      <c r="D8" s="4" t="n">
        <v>45838</v>
      </c>
      <c r="E8" s="4" t="n">
        <v>45854</v>
      </c>
      <c r="F8" s="5" t="n">
        <v>31500</v>
      </c>
      <c r="G8" s="3" t="inlineStr">
        <is>
          <t>credito d'imposta (esenzione)</t>
        </is>
      </c>
      <c r="H8" s="3" t="inlineStr">
        <is>
          <t>-</t>
        </is>
      </c>
      <c r="I8" s="3" t="inlineStr">
        <is>
          <t>Meridiana Digital Solutions S.r.l.</t>
        </is>
      </c>
      <c r="J8" s="3" t="inlineStr">
        <is>
          <t>Spese di ricerca e sviluppo 2024</t>
        </is>
      </c>
      <c r="K8" s="3" t="inlineStr">
        <is>
          <t>Compensazione in F24 codice 6938</t>
        </is>
      </c>
    </row>
    <row r="9">
      <c r="A9" s="3" t="inlineStr">
        <is>
          <t>Agenzia delle Entrate</t>
        </is>
      </c>
      <c r="B9" s="3" t="inlineStr">
        <is>
          <t>Credito d'imposta ricerca e sviluppo 2025</t>
        </is>
      </c>
      <c r="C9" s="3" t="inlineStr">
        <is>
          <t>Art. 1 c. 198 L. 160/2019</t>
        </is>
      </c>
      <c r="D9" s="4" t="n">
        <v>46203</v>
      </c>
      <c r="E9" s="3" t="inlineStr"/>
      <c r="F9" s="5" t="n">
        <v>42000</v>
      </c>
      <c r="G9" s="3" t="inlineStr">
        <is>
          <t>credito d'imposta (esenzione)</t>
        </is>
      </c>
      <c r="H9" s="3" t="inlineStr">
        <is>
          <t>-</t>
        </is>
      </c>
      <c r="I9" s="3" t="inlineStr">
        <is>
          <t>Meridiana Digital Solutions S.r.l.</t>
        </is>
      </c>
      <c r="J9" s="3" t="inlineStr">
        <is>
          <t>Spese di ricerca e sviluppo 2025</t>
        </is>
      </c>
      <c r="K9" s="3" t="inlineStr">
        <is>
          <t>Da utilizzare in tre quote annuali da luglio 2026</t>
        </is>
      </c>
    </row>
    <row r="10">
      <c r="A10" s="3" t="inlineStr">
        <is>
          <t>MIMIT</t>
        </is>
      </c>
      <c r="B10" s="3" t="inlineStr">
        <is>
          <t>Nuova Sabatini: contributo in conto impianti</t>
        </is>
      </c>
      <c r="C10" s="3" t="inlineStr">
        <is>
          <t>D.L. 69/2013</t>
        </is>
      </c>
      <c r="D10" s="4" t="n">
        <v>44336</v>
      </c>
      <c r="E10" s="4" t="n">
        <v>44540</v>
      </c>
      <c r="F10" s="5" t="n">
        <v>4900</v>
      </c>
      <c r="G10" s="3" t="inlineStr">
        <is>
          <t>esenzione (Reg. UE 651/2014)</t>
        </is>
      </c>
      <c r="H10" s="3" t="inlineStr">
        <is>
          <t>-</t>
        </is>
      </c>
      <c r="I10" s="3" t="inlineStr">
        <is>
          <t>Meridiana Digital Solutions S.r.l.</t>
        </is>
      </c>
      <c r="J10" s="3" t="inlineStr">
        <is>
          <t>Acquisto di server e apparati</t>
        </is>
      </c>
      <c r="K10" s="3" t="inlineStr">
        <is>
          <t>Contributo erogato in un'unica soluzione</t>
        </is>
      </c>
    </row>
    <row r="11">
      <c r="A11" s="3" t="inlineStr">
        <is>
          <t>Ministero del Lavoro</t>
        </is>
      </c>
      <c r="B11" s="3" t="inlineStr">
        <is>
          <t>Esonero contributivo per assunzione di giovani under 36</t>
        </is>
      </c>
      <c r="C11" s="3" t="inlineStr">
        <is>
          <t>L. 178/2020</t>
        </is>
      </c>
      <c r="D11" s="4" t="n">
        <v>44593</v>
      </c>
      <c r="E11" s="4" t="n">
        <v>44620</v>
      </c>
      <c r="F11" s="5" t="n">
        <v>3200</v>
      </c>
      <c r="G11" s="3" t="inlineStr">
        <is>
          <t>esenzione (Reg. UE 651/2014)</t>
        </is>
      </c>
      <c r="H11" s="3" t="inlineStr">
        <is>
          <t>-</t>
        </is>
      </c>
      <c r="I11" s="3" t="inlineStr">
        <is>
          <t>Meridiana Digital Solutions S.r.l.</t>
        </is>
      </c>
      <c r="J11" s="3" t="inlineStr">
        <is>
          <t>Assunzioni 2022</t>
        </is>
      </c>
      <c r="K11" s="3" t="inlineStr">
        <is>
          <t>Fruito in compensazione con il DM10</t>
        </is>
      </c>
    </row>
    <row r="12">
      <c r="A12" s="3" t="inlineStr">
        <is>
          <t>Fondimpresa</t>
        </is>
      </c>
      <c r="B12" s="3" t="inlineStr">
        <is>
          <t>Conto formazione: finanziamento corsi</t>
        </is>
      </c>
      <c r="C12" s="3" t="inlineStr">
        <is>
          <t>Accordo interconfederale</t>
        </is>
      </c>
      <c r="D12" s="4" t="n">
        <v>45183</v>
      </c>
      <c r="E12" s="4" t="n">
        <v>45280</v>
      </c>
      <c r="F12" s="5" t="n">
        <v>5200</v>
      </c>
      <c r="G12" s="3" t="inlineStr">
        <is>
          <t>de minimis</t>
        </is>
      </c>
      <c r="H12" s="3" t="inlineStr">
        <is>
          <t>COR-0000003</t>
        </is>
      </c>
      <c r="I12" s="3" t="inlineStr">
        <is>
          <t>Meridiana Digital Solutions S.r.l.</t>
        </is>
      </c>
      <c r="J12" s="3" t="inlineStr">
        <is>
          <t>Formazione tecnica 2023</t>
        </is>
      </c>
      <c r="K12" s="3" t="inlineStr">
        <is>
          <t>Concesso nel 2023; rientra nel triennio 2023-2025</t>
        </is>
      </c>
    </row>
    <row r="13">
      <c r="A13" s="3" t="inlineStr">
        <is>
          <t>INAIL</t>
        </is>
      </c>
      <c r="B13" s="3" t="inlineStr">
        <is>
          <t>Riduzione del premio per prevenzione (OT23)</t>
        </is>
      </c>
      <c r="C13" s="3" t="inlineStr">
        <is>
          <t>D.M. 3 dicembre 2021</t>
        </is>
      </c>
      <c r="D13" s="4" t="n">
        <v>45747</v>
      </c>
      <c r="E13" s="4" t="n">
        <v>45747</v>
      </c>
      <c r="F13" s="5" t="n">
        <v>1850</v>
      </c>
      <c r="G13" s="3" t="inlineStr">
        <is>
          <t>riduzione del premio</t>
        </is>
      </c>
      <c r="H13" s="3" t="inlineStr">
        <is>
          <t>-</t>
        </is>
      </c>
      <c r="I13" s="3" t="inlineStr">
        <is>
          <t>Meridiana Digital Solutions S.r.l.</t>
        </is>
      </c>
      <c r="J13" s="3" t="inlineStr">
        <is>
          <t>Interventi di prevenzione 2024</t>
        </is>
      </c>
      <c r="K13" s="3" t="inlineStr">
        <is>
          <t>Riduzione applicata in autoliquidazione</t>
        </is>
      </c>
    </row>
    <row r="15">
      <c r="A15" s="6" t="inlineStr">
        <is>
          <t>Aiuti de minimis nel triennio 2024-2026</t>
        </is>
      </c>
      <c r="F15" s="7">
        <f>SUMIFS(F4:F13,G4:G13,"de minimis",D4:D13,"&gt;="&amp;DATE(2024,1,1))</f>
        <v/>
      </c>
    </row>
    <row r="16">
      <c r="A16" s="6" t="inlineStr">
        <is>
          <t>Margine residuo rispetto al massimale</t>
        </is>
      </c>
      <c r="F16" s="7">
        <f>300000-F15</f>
        <v/>
      </c>
    </row>
  </sheetData>
  <autoFilter ref="A3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22" customWidth="1" min="4" max="4"/>
    <col width="18" customWidth="1" min="5" max="5"/>
    <col width="44" customWidth="1" min="6" max="6"/>
  </cols>
  <sheetData>
    <row r="1" ht="32" customHeight="1">
      <c r="A1" s="2" t="inlineStr">
        <is>
          <t>Data</t>
        </is>
      </c>
      <c r="B1" s="2" t="inlineStr">
        <is>
          <t>Ente</t>
        </is>
      </c>
      <c r="C1" s="2" t="inlineStr">
        <is>
          <t>Bando</t>
        </is>
      </c>
      <c r="D1" s="2" t="inlineStr">
        <is>
          <t>Importo richiesto (EUR)</t>
        </is>
      </c>
      <c r="E1" s="2" t="inlineStr">
        <is>
          <t>Esito</t>
        </is>
      </c>
      <c r="F1" s="2" t="inlineStr">
        <is>
          <t>Note</t>
        </is>
      </c>
    </row>
    <row r="2">
      <c r="A2" s="4" t="n">
        <v>43528</v>
      </c>
      <c r="B2" s="3" t="inlineStr">
        <is>
          <t>Regione Piemonte</t>
        </is>
      </c>
      <c r="C2" s="3" t="inlineStr">
        <is>
          <t>Bando Voucher digitali</t>
        </is>
      </c>
      <c r="D2" s="5" t="n">
        <v>8000</v>
      </c>
      <c r="E2" s="3" t="inlineStr">
        <is>
          <t>Non ammessa</t>
        </is>
      </c>
      <c r="F2" s="3" t="inlineStr">
        <is>
          <t>Graduatoria: fondi esauriti</t>
        </is>
      </c>
    </row>
    <row r="3">
      <c r="A3" s="4" t="n">
        <v>43969</v>
      </c>
      <c r="B3" s="3" t="inlineStr">
        <is>
          <t>MIMIT</t>
        </is>
      </c>
      <c r="C3" s="3" t="inlineStr">
        <is>
          <t>Nuova Sabatini</t>
        </is>
      </c>
      <c r="D3" s="5" t="n">
        <v>7000</v>
      </c>
      <c r="E3" s="3" t="inlineStr">
        <is>
          <t>Concessa</t>
        </is>
      </c>
      <c r="F3" s="3" t="inlineStr">
        <is>
          <t>Contributo erogato nel 2021</t>
        </is>
      </c>
    </row>
    <row r="4">
      <c r="A4" s="4" t="n">
        <v>44249</v>
      </c>
      <c r="B4" s="3" t="inlineStr">
        <is>
          <t>Camera di Commercio di Torino</t>
        </is>
      </c>
      <c r="C4" s="3" t="inlineStr">
        <is>
          <t>Voucher digitalizzazione 2021</t>
        </is>
      </c>
      <c r="D4" s="5" t="n">
        <v>6000</v>
      </c>
      <c r="E4" s="3" t="inlineStr">
        <is>
          <t>Non ammessa</t>
        </is>
      </c>
      <c r="F4" s="3" t="inlineStr">
        <is>
          <t>Domanda tardiva</t>
        </is>
      </c>
    </row>
    <row r="5">
      <c r="A5" s="4" t="n">
        <v>44630</v>
      </c>
      <c r="B5" s="3" t="inlineStr">
        <is>
          <t>Camera di Commercio di Torino</t>
        </is>
      </c>
      <c r="C5" s="3" t="inlineStr">
        <is>
          <t>Voucher formazione 4.0</t>
        </is>
      </c>
      <c r="D5" s="5" t="n">
        <v>4000</v>
      </c>
      <c r="E5" s="3" t="inlineStr">
        <is>
          <t>Ritirata</t>
        </is>
      </c>
      <c r="F5" s="3" t="inlineStr">
        <is>
          <t>Cambio di progetto</t>
        </is>
      </c>
    </row>
    <row r="6">
      <c r="A6" s="4" t="n">
        <v>45043</v>
      </c>
      <c r="B6" s="3" t="inlineStr">
        <is>
          <t>Fondimpresa</t>
        </is>
      </c>
      <c r="C6" s="3" t="inlineStr">
        <is>
          <t>Avviso formazione continua</t>
        </is>
      </c>
      <c r="D6" s="5" t="n">
        <v>5200</v>
      </c>
      <c r="E6" s="3" t="inlineStr">
        <is>
          <t>Concessa</t>
        </is>
      </c>
      <c r="F6" s="3" t="inlineStr">
        <is>
          <t>Registrata come de minimis</t>
        </is>
      </c>
    </row>
    <row r="7">
      <c r="A7" s="4" t="n">
        <v>45330</v>
      </c>
      <c r="B7" s="3" t="inlineStr">
        <is>
          <t>Camera di Commercio di Torino</t>
        </is>
      </c>
      <c r="C7" s="3" t="inlineStr">
        <is>
          <t>Voucher digitalizzazione 2024</t>
        </is>
      </c>
      <c r="D7" s="5" t="n">
        <v>10000</v>
      </c>
      <c r="E7" s="3" t="inlineStr">
        <is>
          <t>Concessa</t>
        </is>
      </c>
      <c r="F7" s="3" t="inlineStr">
        <is>
          <t>COR-0000001</t>
        </is>
      </c>
    </row>
    <row r="8">
      <c r="A8" s="4" t="n">
        <v>45565</v>
      </c>
      <c r="B8" s="3" t="inlineStr">
        <is>
          <t>Regione Piemonte</t>
        </is>
      </c>
      <c r="C8" s="3" t="inlineStr">
        <is>
          <t>Bando innovazione PMI</t>
        </is>
      </c>
      <c r="D8" s="5" t="n">
        <v>90000</v>
      </c>
      <c r="E8" s="3" t="inlineStr">
        <is>
          <t>Non ammessa</t>
        </is>
      </c>
      <c r="F8" s="3" t="inlineStr">
        <is>
          <t>Punteggio inferiore alla soglia</t>
        </is>
      </c>
    </row>
    <row r="9">
      <c r="A9" s="4" t="n">
        <v>45791</v>
      </c>
      <c r="B9" s="3" t="inlineStr">
        <is>
          <t>Regione Piemonte</t>
        </is>
      </c>
      <c r="C9" s="3" t="inlineStr">
        <is>
          <t>Contributo partecipazione fiere 2025</t>
        </is>
      </c>
      <c r="D9" s="5" t="n">
        <v>6500</v>
      </c>
      <c r="E9" s="3" t="inlineStr">
        <is>
          <t>Concessa</t>
        </is>
      </c>
      <c r="F9" s="3" t="inlineStr">
        <is>
          <t>COR-0000002</t>
        </is>
      </c>
    </row>
    <row r="10">
      <c r="A10" s="4" t="n">
        <v>46091</v>
      </c>
      <c r="B10" s="3" t="inlineStr">
        <is>
          <t>Camera di Commercio di Torino</t>
        </is>
      </c>
      <c r="C10" s="3" t="inlineStr">
        <is>
          <t>Voucher digitalizzazione 2026</t>
        </is>
      </c>
      <c r="D10" s="5" t="n">
        <v>12000</v>
      </c>
      <c r="E10" s="3" t="inlineStr">
        <is>
          <t>In istruttoria</t>
        </is>
      </c>
      <c r="F10" s="3" t="inlineStr">
        <is>
          <t>Presentata via PEC</t>
        </is>
      </c>
    </row>
    <row r="11">
      <c r="A11" s="4" t="n">
        <v>46164</v>
      </c>
      <c r="B11" s="3" t="inlineStr">
        <is>
          <t>Regione Piemonte</t>
        </is>
      </c>
      <c r="C11" s="3" t="inlineStr">
        <is>
          <t>Bando SWIch 2026</t>
        </is>
      </c>
      <c r="D11" s="5" t="n">
        <v>140000</v>
      </c>
      <c r="E11" s="3" t="inlineStr">
        <is>
          <t>Non presentata</t>
        </is>
      </c>
      <c r="F11" s="3" t="inlineStr">
        <is>
          <t>Verifica dei requisiti in corso</t>
        </is>
      </c>
    </row>
    <row r="12">
      <c r="A12" s="4" t="n">
        <v>46204</v>
      </c>
      <c r="B12" s="3" t="inlineStr">
        <is>
          <t>Invitalia</t>
        </is>
      </c>
      <c r="C12" s="3" t="inlineStr">
        <is>
          <t>Smart&amp;Start Italia</t>
        </is>
      </c>
      <c r="D12" s="5" t="n">
        <v>0</v>
      </c>
      <c r="E12" s="3" t="inlineStr">
        <is>
          <t>Non ammissibile</t>
        </is>
      </c>
      <c r="F12" s="3" t="inlineStr">
        <is>
          <t>L'impresa ha più di 5 anni dall'iscrizione</t>
        </is>
      </c>
    </row>
    <row r="13">
      <c r="A13" s="4" t="n">
        <v>46280</v>
      </c>
      <c r="B13" s="3" t="inlineStr">
        <is>
          <t>Ministero (bando innovazione)</t>
        </is>
      </c>
      <c r="C13" s="3" t="inlineStr">
        <is>
          <t>Progetto Atlas - candidatura</t>
        </is>
      </c>
      <c r="D13" s="5" t="n">
        <v>143950</v>
      </c>
      <c r="E13" s="3" t="inlineStr">
        <is>
          <t>In preparazione</t>
        </is>
      </c>
      <c r="F13" s="3" t="inlineStr">
        <is>
          <t>Bozza interna versione 0.7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</cols>
  <sheetData>
    <row r="1" ht="32" customHeight="1">
      <c r="A1" s="2" t="inlineStr">
        <is>
          <t>Data di riferimento (1° del mese)</t>
        </is>
      </c>
      <c r="B1" s="2" t="inlineStr">
        <is>
          <t>Aiuti de minimis nei 36 mesi precedenti (EUR)</t>
        </is>
      </c>
      <c r="C1" s="2" t="inlineStr">
        <is>
          <t>Margine residuo (EUR)</t>
        </is>
      </c>
    </row>
    <row r="2">
      <c r="A2" s="4" t="n">
        <v>44927</v>
      </c>
      <c r="B2" s="5">
        <f>SUMIFS('Registro aiuti'!$F$4:$F$13,'Registro aiuti'!$G$4:$G$13,"de minimis",'Registro aiuti'!$D$4:$D$13,"&gt;"&amp;EDATE(A2,-36),'Registro aiuti'!$D$4:$D$13,"&lt;="&amp;A2)</f>
        <v/>
      </c>
      <c r="C2" s="5">
        <f>300000-B2</f>
        <v/>
      </c>
    </row>
    <row r="3">
      <c r="A3" s="4" t="n">
        <v>44958</v>
      </c>
      <c r="B3" s="5">
        <f>SUMIFS('Registro aiuti'!$F$4:$F$13,'Registro aiuti'!$G$4:$G$13,"de minimis",'Registro aiuti'!$D$4:$D$13,"&gt;"&amp;EDATE(A3,-36),'Registro aiuti'!$D$4:$D$13,"&lt;="&amp;A3)</f>
        <v/>
      </c>
      <c r="C3" s="5">
        <f>300000-B3</f>
        <v/>
      </c>
    </row>
    <row r="4">
      <c r="A4" s="4" t="n">
        <v>44986</v>
      </c>
      <c r="B4" s="5">
        <f>SUMIFS('Registro aiuti'!$F$4:$F$13,'Registro aiuti'!$G$4:$G$13,"de minimis",'Registro aiuti'!$D$4:$D$13,"&gt;"&amp;EDATE(A4,-36),'Registro aiuti'!$D$4:$D$13,"&lt;="&amp;A4)</f>
        <v/>
      </c>
      <c r="C4" s="5">
        <f>300000-B4</f>
        <v/>
      </c>
    </row>
    <row r="5">
      <c r="A5" s="4" t="n">
        <v>45017</v>
      </c>
      <c r="B5" s="5">
        <f>SUMIFS('Registro aiuti'!$F$4:$F$13,'Registro aiuti'!$G$4:$G$13,"de minimis",'Registro aiuti'!$D$4:$D$13,"&gt;"&amp;EDATE(A5,-36),'Registro aiuti'!$D$4:$D$13,"&lt;="&amp;A5)</f>
        <v/>
      </c>
      <c r="C5" s="5">
        <f>300000-B5</f>
        <v/>
      </c>
    </row>
    <row r="6">
      <c r="A6" s="4" t="n">
        <v>45047</v>
      </c>
      <c r="B6" s="5">
        <f>SUMIFS('Registro aiuti'!$F$4:$F$13,'Registro aiuti'!$G$4:$G$13,"de minimis",'Registro aiuti'!$D$4:$D$13,"&gt;"&amp;EDATE(A6,-36),'Registro aiuti'!$D$4:$D$13,"&lt;="&amp;A6)</f>
        <v/>
      </c>
      <c r="C6" s="5">
        <f>300000-B6</f>
        <v/>
      </c>
    </row>
    <row r="7">
      <c r="A7" s="4" t="n">
        <v>45078</v>
      </c>
      <c r="B7" s="5">
        <f>SUMIFS('Registro aiuti'!$F$4:$F$13,'Registro aiuti'!$G$4:$G$13,"de minimis",'Registro aiuti'!$D$4:$D$13,"&gt;"&amp;EDATE(A7,-36),'Registro aiuti'!$D$4:$D$13,"&lt;="&amp;A7)</f>
        <v/>
      </c>
      <c r="C7" s="5">
        <f>300000-B7</f>
        <v/>
      </c>
    </row>
    <row r="8">
      <c r="A8" s="4" t="n">
        <v>45108</v>
      </c>
      <c r="B8" s="5">
        <f>SUMIFS('Registro aiuti'!$F$4:$F$13,'Registro aiuti'!$G$4:$G$13,"de minimis",'Registro aiuti'!$D$4:$D$13,"&gt;"&amp;EDATE(A8,-36),'Registro aiuti'!$D$4:$D$13,"&lt;="&amp;A8)</f>
        <v/>
      </c>
      <c r="C8" s="5">
        <f>300000-B8</f>
        <v/>
      </c>
    </row>
    <row r="9">
      <c r="A9" s="4" t="n">
        <v>45139</v>
      </c>
      <c r="B9" s="5">
        <f>SUMIFS('Registro aiuti'!$F$4:$F$13,'Registro aiuti'!$G$4:$G$13,"de minimis",'Registro aiuti'!$D$4:$D$13,"&gt;"&amp;EDATE(A9,-36),'Registro aiuti'!$D$4:$D$13,"&lt;="&amp;A9)</f>
        <v/>
      </c>
      <c r="C9" s="5">
        <f>300000-B9</f>
        <v/>
      </c>
    </row>
    <row r="10">
      <c r="A10" s="4" t="n">
        <v>45170</v>
      </c>
      <c r="B10" s="5">
        <f>SUMIFS('Registro aiuti'!$F$4:$F$13,'Registro aiuti'!$G$4:$G$13,"de minimis",'Registro aiuti'!$D$4:$D$13,"&gt;"&amp;EDATE(A10,-36),'Registro aiuti'!$D$4:$D$13,"&lt;="&amp;A10)</f>
        <v/>
      </c>
      <c r="C10" s="5">
        <f>300000-B10</f>
        <v/>
      </c>
    </row>
    <row r="11">
      <c r="A11" s="4" t="n">
        <v>45200</v>
      </c>
      <c r="B11" s="5">
        <f>SUMIFS('Registro aiuti'!$F$4:$F$13,'Registro aiuti'!$G$4:$G$13,"de minimis",'Registro aiuti'!$D$4:$D$13,"&gt;"&amp;EDATE(A11,-36),'Registro aiuti'!$D$4:$D$13,"&lt;="&amp;A11)</f>
        <v/>
      </c>
      <c r="C11" s="5">
        <f>300000-B11</f>
        <v/>
      </c>
    </row>
    <row r="12">
      <c r="A12" s="4" t="n">
        <v>45231</v>
      </c>
      <c r="B12" s="5">
        <f>SUMIFS('Registro aiuti'!$F$4:$F$13,'Registro aiuti'!$G$4:$G$13,"de minimis",'Registro aiuti'!$D$4:$D$13,"&gt;"&amp;EDATE(A12,-36),'Registro aiuti'!$D$4:$D$13,"&lt;="&amp;A12)</f>
        <v/>
      </c>
      <c r="C12" s="5">
        <f>300000-B12</f>
        <v/>
      </c>
    </row>
    <row r="13">
      <c r="A13" s="4" t="n">
        <v>45261</v>
      </c>
      <c r="B13" s="5">
        <f>SUMIFS('Registro aiuti'!$F$4:$F$13,'Registro aiuti'!$G$4:$G$13,"de minimis",'Registro aiuti'!$D$4:$D$13,"&gt;"&amp;EDATE(A13,-36),'Registro aiuti'!$D$4:$D$13,"&lt;="&amp;A13)</f>
        <v/>
      </c>
      <c r="C13" s="5">
        <f>300000-B13</f>
        <v/>
      </c>
    </row>
    <row r="14">
      <c r="A14" s="4" t="n">
        <v>45292</v>
      </c>
      <c r="B14" s="5">
        <f>SUMIFS('Registro aiuti'!$F$4:$F$13,'Registro aiuti'!$G$4:$G$13,"de minimis",'Registro aiuti'!$D$4:$D$13,"&gt;"&amp;EDATE(A14,-36),'Registro aiuti'!$D$4:$D$13,"&lt;="&amp;A14)</f>
        <v/>
      </c>
      <c r="C14" s="5">
        <f>300000-B14</f>
        <v/>
      </c>
    </row>
    <row r="15">
      <c r="A15" s="4" t="n">
        <v>45323</v>
      </c>
      <c r="B15" s="5">
        <f>SUMIFS('Registro aiuti'!$F$4:$F$13,'Registro aiuti'!$G$4:$G$13,"de minimis",'Registro aiuti'!$D$4:$D$13,"&gt;"&amp;EDATE(A15,-36),'Registro aiuti'!$D$4:$D$13,"&lt;="&amp;A15)</f>
        <v/>
      </c>
      <c r="C15" s="5">
        <f>300000-B15</f>
        <v/>
      </c>
    </row>
    <row r="16">
      <c r="A16" s="4" t="n">
        <v>45352</v>
      </c>
      <c r="B16" s="5">
        <f>SUMIFS('Registro aiuti'!$F$4:$F$13,'Registro aiuti'!$G$4:$G$13,"de minimis",'Registro aiuti'!$D$4:$D$13,"&gt;"&amp;EDATE(A16,-36),'Registro aiuti'!$D$4:$D$13,"&lt;="&amp;A16)</f>
        <v/>
      </c>
      <c r="C16" s="5">
        <f>300000-B16</f>
        <v/>
      </c>
    </row>
    <row r="17">
      <c r="A17" s="4" t="n">
        <v>45383</v>
      </c>
      <c r="B17" s="5">
        <f>SUMIFS('Registro aiuti'!$F$4:$F$13,'Registro aiuti'!$G$4:$G$13,"de minimis",'Registro aiuti'!$D$4:$D$13,"&gt;"&amp;EDATE(A17,-36),'Registro aiuti'!$D$4:$D$13,"&lt;="&amp;A17)</f>
        <v/>
      </c>
      <c r="C17" s="5">
        <f>300000-B17</f>
        <v/>
      </c>
    </row>
    <row r="18">
      <c r="A18" s="4" t="n">
        <v>45413</v>
      </c>
      <c r="B18" s="5">
        <f>SUMIFS('Registro aiuti'!$F$4:$F$13,'Registro aiuti'!$G$4:$G$13,"de minimis",'Registro aiuti'!$D$4:$D$13,"&gt;"&amp;EDATE(A18,-36),'Registro aiuti'!$D$4:$D$13,"&lt;="&amp;A18)</f>
        <v/>
      </c>
      <c r="C18" s="5">
        <f>300000-B18</f>
        <v/>
      </c>
    </row>
    <row r="19">
      <c r="A19" s="4" t="n">
        <v>45444</v>
      </c>
      <c r="B19" s="5">
        <f>SUMIFS('Registro aiuti'!$F$4:$F$13,'Registro aiuti'!$G$4:$G$13,"de minimis",'Registro aiuti'!$D$4:$D$13,"&gt;"&amp;EDATE(A19,-36),'Registro aiuti'!$D$4:$D$13,"&lt;="&amp;A19)</f>
        <v/>
      </c>
      <c r="C19" s="5">
        <f>300000-B19</f>
        <v/>
      </c>
    </row>
    <row r="20">
      <c r="A20" s="4" t="n">
        <v>45474</v>
      </c>
      <c r="B20" s="5">
        <f>SUMIFS('Registro aiuti'!$F$4:$F$13,'Registro aiuti'!$G$4:$G$13,"de minimis",'Registro aiuti'!$D$4:$D$13,"&gt;"&amp;EDATE(A20,-36),'Registro aiuti'!$D$4:$D$13,"&lt;="&amp;A20)</f>
        <v/>
      </c>
      <c r="C20" s="5">
        <f>300000-B20</f>
        <v/>
      </c>
    </row>
    <row r="21">
      <c r="A21" s="4" t="n">
        <v>45505</v>
      </c>
      <c r="B21" s="5">
        <f>SUMIFS('Registro aiuti'!$F$4:$F$13,'Registro aiuti'!$G$4:$G$13,"de minimis",'Registro aiuti'!$D$4:$D$13,"&gt;"&amp;EDATE(A21,-36),'Registro aiuti'!$D$4:$D$13,"&lt;="&amp;A21)</f>
        <v/>
      </c>
      <c r="C21" s="5">
        <f>300000-B21</f>
        <v/>
      </c>
    </row>
    <row r="22">
      <c r="A22" s="4" t="n">
        <v>45536</v>
      </c>
      <c r="B22" s="5">
        <f>SUMIFS('Registro aiuti'!$F$4:$F$13,'Registro aiuti'!$G$4:$G$13,"de minimis",'Registro aiuti'!$D$4:$D$13,"&gt;"&amp;EDATE(A22,-36),'Registro aiuti'!$D$4:$D$13,"&lt;="&amp;A22)</f>
        <v/>
      </c>
      <c r="C22" s="5">
        <f>300000-B22</f>
        <v/>
      </c>
    </row>
    <row r="23">
      <c r="A23" s="4" t="n">
        <v>45566</v>
      </c>
      <c r="B23" s="5">
        <f>SUMIFS('Registro aiuti'!$F$4:$F$13,'Registro aiuti'!$G$4:$G$13,"de minimis",'Registro aiuti'!$D$4:$D$13,"&gt;"&amp;EDATE(A23,-36),'Registro aiuti'!$D$4:$D$13,"&lt;="&amp;A23)</f>
        <v/>
      </c>
      <c r="C23" s="5">
        <f>300000-B23</f>
        <v/>
      </c>
    </row>
    <row r="24">
      <c r="A24" s="4" t="n">
        <v>45597</v>
      </c>
      <c r="B24" s="5">
        <f>SUMIFS('Registro aiuti'!$F$4:$F$13,'Registro aiuti'!$G$4:$G$13,"de minimis",'Registro aiuti'!$D$4:$D$13,"&gt;"&amp;EDATE(A24,-36),'Registro aiuti'!$D$4:$D$13,"&lt;="&amp;A24)</f>
        <v/>
      </c>
      <c r="C24" s="5">
        <f>300000-B24</f>
        <v/>
      </c>
    </row>
    <row r="25">
      <c r="A25" s="4" t="n">
        <v>45627</v>
      </c>
      <c r="B25" s="5">
        <f>SUMIFS('Registro aiuti'!$F$4:$F$13,'Registro aiuti'!$G$4:$G$13,"de minimis",'Registro aiuti'!$D$4:$D$13,"&gt;"&amp;EDATE(A25,-36),'Registro aiuti'!$D$4:$D$13,"&lt;="&amp;A25)</f>
        <v/>
      </c>
      <c r="C25" s="5">
        <f>300000-B25</f>
        <v/>
      </c>
    </row>
    <row r="26">
      <c r="A26" s="4" t="n">
        <v>45658</v>
      </c>
      <c r="B26" s="5">
        <f>SUMIFS('Registro aiuti'!$F$4:$F$13,'Registro aiuti'!$G$4:$G$13,"de minimis",'Registro aiuti'!$D$4:$D$13,"&gt;"&amp;EDATE(A26,-36),'Registro aiuti'!$D$4:$D$13,"&lt;="&amp;A26)</f>
        <v/>
      </c>
      <c r="C26" s="5">
        <f>300000-B26</f>
        <v/>
      </c>
    </row>
    <row r="27">
      <c r="A27" s="4" t="n">
        <v>45689</v>
      </c>
      <c r="B27" s="5">
        <f>SUMIFS('Registro aiuti'!$F$4:$F$13,'Registro aiuti'!$G$4:$G$13,"de minimis",'Registro aiuti'!$D$4:$D$13,"&gt;"&amp;EDATE(A27,-36),'Registro aiuti'!$D$4:$D$13,"&lt;="&amp;A27)</f>
        <v/>
      </c>
      <c r="C27" s="5">
        <f>300000-B27</f>
        <v/>
      </c>
    </row>
    <row r="28">
      <c r="A28" s="4" t="n">
        <v>45717</v>
      </c>
      <c r="B28" s="5">
        <f>SUMIFS('Registro aiuti'!$F$4:$F$13,'Registro aiuti'!$G$4:$G$13,"de minimis",'Registro aiuti'!$D$4:$D$13,"&gt;"&amp;EDATE(A28,-36),'Registro aiuti'!$D$4:$D$13,"&lt;="&amp;A28)</f>
        <v/>
      </c>
      <c r="C28" s="5">
        <f>300000-B28</f>
        <v/>
      </c>
    </row>
    <row r="29">
      <c r="A29" s="4" t="n">
        <v>45748</v>
      </c>
      <c r="B29" s="5">
        <f>SUMIFS('Registro aiuti'!$F$4:$F$13,'Registro aiuti'!$G$4:$G$13,"de minimis",'Registro aiuti'!$D$4:$D$13,"&gt;"&amp;EDATE(A29,-36),'Registro aiuti'!$D$4:$D$13,"&lt;="&amp;A29)</f>
        <v/>
      </c>
      <c r="C29" s="5">
        <f>300000-B29</f>
        <v/>
      </c>
    </row>
    <row r="30">
      <c r="A30" s="4" t="n">
        <v>45778</v>
      </c>
      <c r="B30" s="5">
        <f>SUMIFS('Registro aiuti'!$F$4:$F$13,'Registro aiuti'!$G$4:$G$13,"de minimis",'Registro aiuti'!$D$4:$D$13,"&gt;"&amp;EDATE(A30,-36),'Registro aiuti'!$D$4:$D$13,"&lt;="&amp;A30)</f>
        <v/>
      </c>
      <c r="C30" s="5">
        <f>300000-B30</f>
        <v/>
      </c>
    </row>
    <row r="31">
      <c r="A31" s="4" t="n">
        <v>45809</v>
      </c>
      <c r="B31" s="5">
        <f>SUMIFS('Registro aiuti'!$F$4:$F$13,'Registro aiuti'!$G$4:$G$13,"de minimis",'Registro aiuti'!$D$4:$D$13,"&gt;"&amp;EDATE(A31,-36),'Registro aiuti'!$D$4:$D$13,"&lt;="&amp;A31)</f>
        <v/>
      </c>
      <c r="C31" s="5">
        <f>300000-B31</f>
        <v/>
      </c>
    </row>
    <row r="32">
      <c r="A32" s="4" t="n">
        <v>45839</v>
      </c>
      <c r="B32" s="5">
        <f>SUMIFS('Registro aiuti'!$F$4:$F$13,'Registro aiuti'!$G$4:$G$13,"de minimis",'Registro aiuti'!$D$4:$D$13,"&gt;"&amp;EDATE(A32,-36),'Registro aiuti'!$D$4:$D$13,"&lt;="&amp;A32)</f>
        <v/>
      </c>
      <c r="C32" s="5">
        <f>300000-B32</f>
        <v/>
      </c>
    </row>
    <row r="33">
      <c r="A33" s="4" t="n">
        <v>45870</v>
      </c>
      <c r="B33" s="5">
        <f>SUMIFS('Registro aiuti'!$F$4:$F$13,'Registro aiuti'!$G$4:$G$13,"de minimis",'Registro aiuti'!$D$4:$D$13,"&gt;"&amp;EDATE(A33,-36),'Registro aiuti'!$D$4:$D$13,"&lt;="&amp;A33)</f>
        <v/>
      </c>
      <c r="C33" s="5">
        <f>300000-B33</f>
        <v/>
      </c>
    </row>
    <row r="34">
      <c r="A34" s="4" t="n">
        <v>45901</v>
      </c>
      <c r="B34" s="5">
        <f>SUMIFS('Registro aiuti'!$F$4:$F$13,'Registro aiuti'!$G$4:$G$13,"de minimis",'Registro aiuti'!$D$4:$D$13,"&gt;"&amp;EDATE(A34,-36),'Registro aiuti'!$D$4:$D$13,"&lt;="&amp;A34)</f>
        <v/>
      </c>
      <c r="C34" s="5">
        <f>300000-B34</f>
        <v/>
      </c>
    </row>
    <row r="35">
      <c r="A35" s="4" t="n">
        <v>45931</v>
      </c>
      <c r="B35" s="5">
        <f>SUMIFS('Registro aiuti'!$F$4:$F$13,'Registro aiuti'!$G$4:$G$13,"de minimis",'Registro aiuti'!$D$4:$D$13,"&gt;"&amp;EDATE(A35,-36),'Registro aiuti'!$D$4:$D$13,"&lt;="&amp;A35)</f>
        <v/>
      </c>
      <c r="C35" s="5">
        <f>300000-B35</f>
        <v/>
      </c>
    </row>
    <row r="36">
      <c r="A36" s="4" t="n">
        <v>45962</v>
      </c>
      <c r="B36" s="5">
        <f>SUMIFS('Registro aiuti'!$F$4:$F$13,'Registro aiuti'!$G$4:$G$13,"de minimis",'Registro aiuti'!$D$4:$D$13,"&gt;"&amp;EDATE(A36,-36),'Registro aiuti'!$D$4:$D$13,"&lt;="&amp;A36)</f>
        <v/>
      </c>
      <c r="C36" s="5">
        <f>300000-B36</f>
        <v/>
      </c>
    </row>
    <row r="37">
      <c r="A37" s="4" t="n">
        <v>45992</v>
      </c>
      <c r="B37" s="5">
        <f>SUMIFS('Registro aiuti'!$F$4:$F$13,'Registro aiuti'!$G$4:$G$13,"de minimis",'Registro aiuti'!$D$4:$D$13,"&gt;"&amp;EDATE(A37,-36),'Registro aiuti'!$D$4:$D$13,"&lt;="&amp;A37)</f>
        <v/>
      </c>
      <c r="C37" s="5">
        <f>300000-B37</f>
        <v/>
      </c>
    </row>
    <row r="38">
      <c r="A38" s="4" t="n">
        <v>46023</v>
      </c>
      <c r="B38" s="5">
        <f>SUMIFS('Registro aiuti'!$F$4:$F$13,'Registro aiuti'!$G$4:$G$13,"de minimis",'Registro aiuti'!$D$4:$D$13,"&gt;"&amp;EDATE(A38,-36),'Registro aiuti'!$D$4:$D$13,"&lt;="&amp;A38)</f>
        <v/>
      </c>
      <c r="C38" s="5">
        <f>300000-B38</f>
        <v/>
      </c>
    </row>
    <row r="39">
      <c r="A39" s="4" t="n">
        <v>46054</v>
      </c>
      <c r="B39" s="5">
        <f>SUMIFS('Registro aiuti'!$F$4:$F$13,'Registro aiuti'!$G$4:$G$13,"de minimis",'Registro aiuti'!$D$4:$D$13,"&gt;"&amp;EDATE(A39,-36),'Registro aiuti'!$D$4:$D$13,"&lt;="&amp;A39)</f>
        <v/>
      </c>
      <c r="C39" s="5">
        <f>300000-B39</f>
        <v/>
      </c>
    </row>
    <row r="40">
      <c r="A40" s="4" t="n">
        <v>46082</v>
      </c>
      <c r="B40" s="5">
        <f>SUMIFS('Registro aiuti'!$F$4:$F$13,'Registro aiuti'!$G$4:$G$13,"de minimis",'Registro aiuti'!$D$4:$D$13,"&gt;"&amp;EDATE(A40,-36),'Registro aiuti'!$D$4:$D$13,"&lt;="&amp;A40)</f>
        <v/>
      </c>
      <c r="C40" s="5">
        <f>300000-B40</f>
        <v/>
      </c>
    </row>
    <row r="41">
      <c r="A41" s="4" t="n">
        <v>46113</v>
      </c>
      <c r="B41" s="5">
        <f>SUMIFS('Registro aiuti'!$F$4:$F$13,'Registro aiuti'!$G$4:$G$13,"de minimis",'Registro aiuti'!$D$4:$D$13,"&gt;"&amp;EDATE(A41,-36),'Registro aiuti'!$D$4:$D$13,"&lt;="&amp;A41)</f>
        <v/>
      </c>
      <c r="C41" s="5">
        <f>300000-B41</f>
        <v/>
      </c>
    </row>
    <row r="42">
      <c r="A42" s="4" t="n">
        <v>46143</v>
      </c>
      <c r="B42" s="5">
        <f>SUMIFS('Registro aiuti'!$F$4:$F$13,'Registro aiuti'!$G$4:$G$13,"de minimis",'Registro aiuti'!$D$4:$D$13,"&gt;"&amp;EDATE(A42,-36),'Registro aiuti'!$D$4:$D$13,"&lt;="&amp;A42)</f>
        <v/>
      </c>
      <c r="C42" s="5">
        <f>300000-B42</f>
        <v/>
      </c>
    </row>
    <row r="43">
      <c r="A43" s="4" t="n">
        <v>46174</v>
      </c>
      <c r="B43" s="5">
        <f>SUMIFS('Registro aiuti'!$F$4:$F$13,'Registro aiuti'!$G$4:$G$13,"de minimis",'Registro aiuti'!$D$4:$D$13,"&gt;"&amp;EDATE(A43,-36),'Registro aiuti'!$D$4:$D$13,"&lt;="&amp;A43)</f>
        <v/>
      </c>
      <c r="C43" s="5">
        <f>300000-B43</f>
        <v/>
      </c>
    </row>
    <row r="44">
      <c r="A44" s="4" t="n">
        <v>46204</v>
      </c>
      <c r="B44" s="5">
        <f>SUMIFS('Registro aiuti'!$F$4:$F$13,'Registro aiuti'!$G$4:$G$13,"de minimis",'Registro aiuti'!$D$4:$D$13,"&gt;"&amp;EDATE(A44,-36),'Registro aiuti'!$D$4:$D$13,"&lt;="&amp;A44)</f>
        <v/>
      </c>
      <c r="C44" s="5">
        <f>300000-B44</f>
        <v/>
      </c>
    </row>
    <row r="45">
      <c r="A45" s="4" t="n">
        <v>46235</v>
      </c>
      <c r="B45" s="5">
        <f>SUMIFS('Registro aiuti'!$F$4:$F$13,'Registro aiuti'!$G$4:$G$13,"de minimis",'Registro aiuti'!$D$4:$D$13,"&gt;"&amp;EDATE(A45,-36),'Registro aiuti'!$D$4:$D$13,"&lt;="&amp;A45)</f>
        <v/>
      </c>
      <c r="C45" s="5">
        <f>300000-B45</f>
        <v/>
      </c>
    </row>
    <row r="46">
      <c r="A46" s="4" t="n">
        <v>46266</v>
      </c>
      <c r="B46" s="5">
        <f>SUMIFS('Registro aiuti'!$F$4:$F$13,'Registro aiuti'!$G$4:$G$13,"de minimis",'Registro aiuti'!$D$4:$D$13,"&gt;"&amp;EDATE(A46,-36),'Registro aiuti'!$D$4:$D$13,"&lt;="&amp;A46)</f>
        <v/>
      </c>
      <c r="C46" s="5">
        <f>300000-B46</f>
        <v/>
      </c>
    </row>
    <row r="47">
      <c r="A47" s="4" t="n">
        <v>46296</v>
      </c>
      <c r="B47" s="5">
        <f>SUMIFS('Registro aiuti'!$F$4:$F$13,'Registro aiuti'!$G$4:$G$13,"de minimis",'Registro aiuti'!$D$4:$D$13,"&gt;"&amp;EDATE(A47,-36),'Registro aiuti'!$D$4:$D$13,"&lt;="&amp;A47)</f>
        <v/>
      </c>
      <c r="C47" s="5">
        <f>300000-B47</f>
        <v/>
      </c>
    </row>
    <row r="48">
      <c r="A48" s="4" t="n">
        <v>46327</v>
      </c>
      <c r="B48" s="5">
        <f>SUMIFS('Registro aiuti'!$F$4:$F$13,'Registro aiuti'!$G$4:$G$13,"de minimis",'Registro aiuti'!$D$4:$D$13,"&gt;"&amp;EDATE(A48,-36),'Registro aiuti'!$D$4:$D$13,"&lt;="&amp;A48)</f>
        <v/>
      </c>
      <c r="C48" s="5">
        <f>300000-B48</f>
        <v/>
      </c>
    </row>
    <row r="49">
      <c r="A49" s="4" t="n">
        <v>46357</v>
      </c>
      <c r="B49" s="5">
        <f>SUMIFS('Registro aiuti'!$F$4:$F$13,'Registro aiuti'!$G$4:$G$13,"de minimis",'Registro aiuti'!$D$4:$D$13,"&gt;"&amp;EDATE(A49,-36),'Registro aiuti'!$D$4:$D$13,"&lt;="&amp;A49)</f>
        <v/>
      </c>
      <c r="C49" s="5">
        <f>300000-B49</f>
        <v/>
      </c>
    </row>
  </sheetData>
  <autoFilter ref="A1:C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30" customWidth="1" min="3" max="3"/>
  </cols>
  <sheetData>
    <row r="1" ht="32" customHeight="1">
      <c r="A1" s="2" t="inlineStr">
        <is>
          <t>Verifica</t>
        </is>
      </c>
      <c r="B1" s="2" t="inlineStr">
        <is>
          <t>Esito</t>
        </is>
      </c>
      <c r="C1" s="2" t="inlineStr">
        <is>
          <t>Fonte</t>
        </is>
      </c>
    </row>
    <row r="2">
      <c r="A2" s="3" t="inlineStr">
        <is>
          <t>Un socio detiene la maggioranza dei diritti di voto di un'altra impresa</t>
        </is>
      </c>
      <c r="B2" s="3" t="inlineStr">
        <is>
          <t>No</t>
        </is>
      </c>
      <c r="C2" s="3" t="inlineStr">
        <is>
          <t>Visura camerale</t>
        </is>
      </c>
    </row>
    <row r="3">
      <c r="A3" s="3" t="inlineStr">
        <is>
          <t>Diritto di nominare la maggioranza degli amministratori di un'altra impresa</t>
        </is>
      </c>
      <c r="B3" s="3" t="inlineStr">
        <is>
          <t>No</t>
        </is>
      </c>
      <c r="C3" s="3" t="inlineStr">
        <is>
          <t>Visura camerale</t>
        </is>
      </c>
    </row>
    <row r="4">
      <c r="A4" s="3" t="inlineStr">
        <is>
          <t>Contratti o clausole statutarie di influenza dominante</t>
        </is>
      </c>
      <c r="B4" s="3" t="inlineStr">
        <is>
          <t>No</t>
        </is>
      </c>
      <c r="C4" s="3" t="inlineStr">
        <is>
          <t>Statuto</t>
        </is>
      </c>
    </row>
    <row r="5">
      <c r="A5" s="3" t="inlineStr">
        <is>
          <t>Partecipazioni della società in altre imprese</t>
        </is>
      </c>
      <c r="B5" s="3" t="inlineStr">
        <is>
          <t>Nessuna</t>
        </is>
      </c>
      <c r="C5" s="3" t="inlineStr">
        <is>
          <t>Bilancio, nota integrativa</t>
        </is>
      </c>
    </row>
    <row r="6">
      <c r="A6" s="3" t="inlineStr">
        <is>
          <t>Operazioni straordinarie nel triennio</t>
        </is>
      </c>
      <c r="B6" s="3" t="inlineStr">
        <is>
          <t>Nessuna</t>
        </is>
      </c>
      <c r="C6" s="3" t="inlineStr">
        <is>
          <t>Verbali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4" customWidth="1" min="4" max="4"/>
    <col width="26" customWidth="1" min="5" max="5"/>
  </cols>
  <sheetData>
    <row r="1" ht="32" customHeight="1">
      <c r="A1" s="2" t="inlineStr">
        <is>
          <t>Esercizio</t>
        </is>
      </c>
      <c r="B1" s="2" t="inlineStr">
        <is>
          <t>Costi ammissibili (EUR)</t>
        </is>
      </c>
      <c r="C1" s="2" t="inlineStr">
        <is>
          <t>Aliquota</t>
        </is>
      </c>
      <c r="D1" s="2" t="inlineStr">
        <is>
          <t>Credito maturato (EUR)</t>
        </is>
      </c>
      <c r="E1" s="2" t="inlineStr">
        <is>
          <t>Stato</t>
        </is>
      </c>
    </row>
    <row r="2">
      <c r="A2" s="3" t="n">
        <v>2022</v>
      </c>
      <c r="B2" s="5" t="n">
        <v>30000</v>
      </c>
      <c r="C2" s="8" t="n">
        <v>0.2</v>
      </c>
      <c r="D2" s="5">
        <f>B2*C2</f>
        <v/>
      </c>
      <c r="E2" s="3" t="inlineStr">
        <is>
          <t>Certificata</t>
        </is>
      </c>
    </row>
    <row r="3">
      <c r="A3" s="3" t="n">
        <v>2023</v>
      </c>
      <c r="B3" s="5" t="n">
        <v>120000</v>
      </c>
      <c r="C3" s="8" t="n">
        <v>0.1</v>
      </c>
      <c r="D3" s="5">
        <f>B3*C3</f>
        <v/>
      </c>
      <c r="E3" s="3" t="inlineStr">
        <is>
          <t>Certificata</t>
        </is>
      </c>
    </row>
    <row r="4">
      <c r="A4" s="3" t="n">
        <v>2024</v>
      </c>
      <c r="B4" s="5" t="n">
        <v>315000</v>
      </c>
      <c r="C4" s="8" t="n">
        <v>0.1</v>
      </c>
      <c r="D4" s="5">
        <f>B4*C4</f>
        <v/>
      </c>
      <c r="E4" s="3" t="inlineStr">
        <is>
          <t>Certificata</t>
        </is>
      </c>
    </row>
    <row r="5">
      <c r="A5" s="3" t="n">
        <v>2025</v>
      </c>
      <c r="B5" s="5" t="n">
        <v>420000</v>
      </c>
      <c r="C5" s="8" t="n">
        <v>0.1</v>
      </c>
      <c r="D5" s="5">
        <f>B5*C5</f>
        <v/>
      </c>
      <c r="E5" s="3" t="inlineStr">
        <is>
          <t>Certificazione in corso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2026-10-14T12:41:28Z</dcterms:created>
  <dcterms:modified xsi:type="dcterms:W3CDTF">2026-10-14T12:41:28Z</dcterms:modified>
</cp:coreProperties>
</file>